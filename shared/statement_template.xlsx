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20" yWindow="2280" windowWidth="29040" windowHeight="15840" tabRatio="693"/>
  </bookViews>
  <sheets>
    <sheet name="البيان" sheetId="7" r:id="rId1"/>
    <sheet name="الجهاز الإداري" sheetId="5" r:id="rId2"/>
    <sheet name="الجهاز التدريسي" sheetId="13" r:id="rId3"/>
    <sheet name="مهنيين ومستخدمين وحراس" sheetId="16" r:id="rId4"/>
    <sheet name="التعديلات الطارئة الشهرية" sheetId="17" r:id="rId5"/>
    <sheet name="جدول نتائج نهاية العام" sheetId="18" r:id="rId6"/>
    <sheet name="قوائم" sheetId="19" state="hidden" r:id="rId7"/>
  </sheets>
  <definedNames>
    <definedName name="_GoBack" localSheetId="1">'الجهاز الإداري'!#REF!</definedName>
    <definedName name="_xlnm.Print_Area" localSheetId="0">البيان!$A$1:$AB$46</definedName>
    <definedName name="_xlnm.Print_Area" localSheetId="4">'التعديلات الطارئة الشهرية'!$A$1:$Y$40</definedName>
    <definedName name="_xlnm.Print_Area" localSheetId="1">'الجهاز الإداري'!$A$1:$V$34</definedName>
    <definedName name="_xlnm.Print_Area" localSheetId="2">'الجهاز التدريسي'!$A$1:$Z$47</definedName>
    <definedName name="_xlnm.Print_Area" localSheetId="5">'جدول نتائج نهاية العام'!$A$1:$V$34</definedName>
    <definedName name="_xlnm.Print_Area" localSheetId="3">'مهنيين ومستخدمين وحراس'!$A$1:$S$32</definedName>
    <definedName name="_xlnm.Print_Titles" localSheetId="1">'الجهاز الإداري'!$1:$3</definedName>
    <definedName name="_xlnm.Print_Titles" localSheetId="2">'الجهاز التدريسي'!$1:$3</definedName>
  </definedNames>
  <calcPr calcId="162913"/>
  <customWorkbookViews>
    <customWorkbookView name="y" guid="{9B185263-2BD9-4D2A-A382-CDCDF12F5EF0}" includePrintSettings="0" maximized="1" xWindow="1" yWindow="1" windowWidth="1366" windowHeight="577" tabRatio="693" activeSheetId="18"/>
  </customWorkbookViews>
</workbook>
</file>

<file path=xl/sharedStrings.xml><?xml version="1.0" encoding="utf-8"?>
<sst xmlns="http://schemas.openxmlformats.org/spreadsheetml/2006/main" count="1134" uniqueCount="597">
  <si>
    <t>تاريخ الولادة</t>
  </si>
  <si>
    <t>تسلسل</t>
  </si>
  <si>
    <t xml:space="preserve">الاختصاص </t>
  </si>
  <si>
    <t xml:space="preserve">القدم الوظيفي </t>
  </si>
  <si>
    <t>الاسـم الثلاثـــــي</t>
  </si>
  <si>
    <t>اسم الشهيد</t>
  </si>
  <si>
    <t>مخبر</t>
  </si>
  <si>
    <t>مكتبة</t>
  </si>
  <si>
    <t>مستودع</t>
  </si>
  <si>
    <t>أمانة سر</t>
  </si>
  <si>
    <t>مشغل يدوي</t>
  </si>
  <si>
    <t>قاعات أخرى</t>
  </si>
  <si>
    <t>عدد الشعب</t>
  </si>
  <si>
    <t xml:space="preserve">فرنسي </t>
  </si>
  <si>
    <t>الأول</t>
  </si>
  <si>
    <t>الثاني</t>
  </si>
  <si>
    <t>الثالث</t>
  </si>
  <si>
    <t>الرابع</t>
  </si>
  <si>
    <t>الخامس</t>
  </si>
  <si>
    <t>حاسوب</t>
  </si>
  <si>
    <t>قاعة رياضة</t>
  </si>
  <si>
    <t>ارشاد اجتماعي</t>
  </si>
  <si>
    <t>منهج صحي</t>
  </si>
  <si>
    <t>مسرح</t>
  </si>
  <si>
    <t>عدد الطوابق</t>
  </si>
  <si>
    <t xml:space="preserve">نوع الدوام / نعم أو لا / </t>
  </si>
  <si>
    <t xml:space="preserve">اسم المدرسة / سابقاً / </t>
  </si>
  <si>
    <t>الحلقة</t>
  </si>
  <si>
    <t>الصف</t>
  </si>
  <si>
    <t>انكليزي</t>
  </si>
  <si>
    <t xml:space="preserve">عدد الطلاب </t>
  </si>
  <si>
    <t>المجموع</t>
  </si>
  <si>
    <t xml:space="preserve">احصائية بعدد الطلاب </t>
  </si>
  <si>
    <t>الشهادات العليا</t>
  </si>
  <si>
    <t xml:space="preserve">ملاحظات </t>
  </si>
  <si>
    <t xml:space="preserve">الهاتف </t>
  </si>
  <si>
    <t>الجهاز الإداري (( يذكر فيه أسماء الإداريين كافة ))</t>
  </si>
  <si>
    <t>إناث</t>
  </si>
  <si>
    <t>ذكور</t>
  </si>
  <si>
    <t xml:space="preserve">يوم </t>
  </si>
  <si>
    <t xml:space="preserve">شهر </t>
  </si>
  <si>
    <t xml:space="preserve">سنة </t>
  </si>
  <si>
    <t>الأرضي</t>
  </si>
  <si>
    <t>معاون مدير</t>
  </si>
  <si>
    <t>توجيه</t>
  </si>
  <si>
    <t>أمانة مكتبة</t>
  </si>
  <si>
    <t>العمل الإداري</t>
  </si>
  <si>
    <t xml:space="preserve">العدد رقماً </t>
  </si>
  <si>
    <t>كتابة</t>
  </si>
  <si>
    <t xml:space="preserve">أمانة سر </t>
  </si>
  <si>
    <t xml:space="preserve">إشراف صحي </t>
  </si>
  <si>
    <t xml:space="preserve">البناء المدرسي حكومي / مستأجر </t>
  </si>
  <si>
    <t xml:space="preserve">عدد الغرف الإدارية </t>
  </si>
  <si>
    <t xml:space="preserve">المنطقة التعليمية </t>
  </si>
  <si>
    <t>اسم القرية</t>
  </si>
  <si>
    <t xml:space="preserve">هاتف المدرسة </t>
  </si>
  <si>
    <t>الشهادة</t>
  </si>
  <si>
    <t xml:space="preserve">عدد الساعات التي يدرسها </t>
  </si>
  <si>
    <t>المواد التي يكمل فيها نصابه في مدرسته وعددها</t>
  </si>
  <si>
    <t>المدرسة التي يكمل نصابه بها وعددها</t>
  </si>
  <si>
    <t>تاريخ المباشرة في المدرسة</t>
  </si>
  <si>
    <t>الجوال</t>
  </si>
  <si>
    <t>السادس</t>
  </si>
  <si>
    <t>عدد الغرف الصفية المستخدمة</t>
  </si>
  <si>
    <t xml:space="preserve">  الجهاز التدريسي  - يذكر حسب الشهادة و الاختصاص / مدرس - مدرس مساعد - معلم صف - أهلية تعليم + تعميق تربوي - أهلية تعليم - ق38 /</t>
  </si>
  <si>
    <t>السابع</t>
  </si>
  <si>
    <t>الثامن</t>
  </si>
  <si>
    <t>التاسع</t>
  </si>
  <si>
    <t>الاسم الثلاثي :</t>
  </si>
  <si>
    <t>معلم صف</t>
  </si>
  <si>
    <t xml:space="preserve">أهلية تعليم </t>
  </si>
  <si>
    <t>عربي</t>
  </si>
  <si>
    <t>رياضيات</t>
  </si>
  <si>
    <t>تاريخ</t>
  </si>
  <si>
    <t>جغرافية</t>
  </si>
  <si>
    <t>فرنسي</t>
  </si>
  <si>
    <t>اسلامية</t>
  </si>
  <si>
    <t>علوم</t>
  </si>
  <si>
    <t>موسيقا</t>
  </si>
  <si>
    <t>فنون</t>
  </si>
  <si>
    <t>رياضة</t>
  </si>
  <si>
    <t>ق. 38</t>
  </si>
  <si>
    <t>الشعبة</t>
  </si>
  <si>
    <t>السكن</t>
  </si>
  <si>
    <t>كامل</t>
  </si>
  <si>
    <t>نصفي</t>
  </si>
  <si>
    <t>تعميق تأهيل</t>
  </si>
  <si>
    <t>روسي</t>
  </si>
  <si>
    <t xml:space="preserve">   الجهاز الاداري</t>
  </si>
  <si>
    <t>فيزياء+كيمياء</t>
  </si>
  <si>
    <t>قبو</t>
  </si>
  <si>
    <t>الأم</t>
  </si>
  <si>
    <t>قومية</t>
  </si>
  <si>
    <t>مسيحية</t>
  </si>
  <si>
    <t>معلوماتية</t>
  </si>
  <si>
    <t>الجهاز التدريسي</t>
  </si>
  <si>
    <t xml:space="preserve">مجموع الطلاب الكلي </t>
  </si>
  <si>
    <t>ساحة</t>
  </si>
  <si>
    <t>الصف الأول</t>
  </si>
  <si>
    <t>الصف الثاني</t>
  </si>
  <si>
    <t>الصف الثالث</t>
  </si>
  <si>
    <t>الصف الرابع</t>
  </si>
  <si>
    <t>الصف الخامس</t>
  </si>
  <si>
    <t>الصف السادس</t>
  </si>
  <si>
    <t>الصف االسابع</t>
  </si>
  <si>
    <t>الصف الثامن</t>
  </si>
  <si>
    <t>الصف التاسع</t>
  </si>
  <si>
    <t>اناث</t>
  </si>
  <si>
    <t>المجموع =</t>
  </si>
  <si>
    <t>احصاءات الامتحانات النهائية</t>
  </si>
  <si>
    <t>مجموع الذكور</t>
  </si>
  <si>
    <t>مجموع الاناث</t>
  </si>
  <si>
    <t>المجموع الكلي=</t>
  </si>
  <si>
    <t>جميع الصفوف</t>
  </si>
  <si>
    <t>العدد الكلي</t>
  </si>
  <si>
    <t>متسرب</t>
  </si>
  <si>
    <t>متقدم</t>
  </si>
  <si>
    <t>ناجح</t>
  </si>
  <si>
    <t>مكمل(معلقة نتيجته)</t>
  </si>
  <si>
    <t>راسب</t>
  </si>
  <si>
    <t>داخل الملاك / تحديد مركز عمل محافظة...</t>
  </si>
  <si>
    <t>مشترك مع</t>
  </si>
  <si>
    <t>نعم</t>
  </si>
  <si>
    <t>لا</t>
  </si>
  <si>
    <t>تطبق المدرسة منهاج التعليم الريفي</t>
  </si>
  <si>
    <t>المادة التي يدرسها</t>
  </si>
  <si>
    <t>إجازات ادارية/ صحية /أمومة / زواج</t>
  </si>
  <si>
    <t>العمل المسند إليه</t>
  </si>
  <si>
    <t>الشهادة ج /م.م/أ.ه/ثا</t>
  </si>
  <si>
    <t>عددالمعلمين داخل الملاك (تحديد مركز عمل)</t>
  </si>
  <si>
    <t>عدد المستخدمين</t>
  </si>
  <si>
    <t>عدد العاملين المهنيين</t>
  </si>
  <si>
    <t>الجهاز الإداري</t>
  </si>
  <si>
    <t>عدد الحراس</t>
  </si>
  <si>
    <t>مدير المدرسة</t>
  </si>
  <si>
    <t>الخاتم والتوقيع :</t>
  </si>
  <si>
    <t>ملاحظات إدارية / نوع الوثيقة / موافقة وزارية</t>
  </si>
  <si>
    <t xml:space="preserve">إجازات ادارية/ صحية / أمومة / زواج </t>
  </si>
  <si>
    <t>تتم تعبئة الجداول الموجودة في الأعلى مرة واحدة في السنة وذلك في نهاية العام الدراسي بعد صدور نتائج الفصل الثاني</t>
  </si>
  <si>
    <t xml:space="preserve">       ملاحظة :</t>
  </si>
  <si>
    <t>عاملين مهنيين وحراس ومستخدمين</t>
  </si>
  <si>
    <t>أمين سر المدرسة</t>
  </si>
  <si>
    <t>عدد المدرسين المساعدين</t>
  </si>
  <si>
    <t>عدد المدرسين</t>
  </si>
  <si>
    <t>مجموع الإداريين</t>
  </si>
  <si>
    <t>إحصائية بعدد الشعب والطلاب</t>
  </si>
  <si>
    <t>عدد الطلاب الذكور</t>
  </si>
  <si>
    <t>عدد الطلاب الإناث</t>
  </si>
  <si>
    <t>مجموع الطلاب الكلي</t>
  </si>
  <si>
    <t>المنطقة السكنية</t>
  </si>
  <si>
    <t>هاتف المدرسة</t>
  </si>
  <si>
    <t>أمين مشغل</t>
  </si>
  <si>
    <t xml:space="preserve"> عدد المعلمين</t>
  </si>
  <si>
    <t>الشهادة /ج/م.م/أ.ه/ثا</t>
  </si>
  <si>
    <t>مدير</t>
  </si>
  <si>
    <t>الحلقة :</t>
  </si>
  <si>
    <t>مباشرة / انفكاك / وفاة / تقاعد / ملاحظات أخرى</t>
  </si>
  <si>
    <t>معاون أمين سر</t>
  </si>
  <si>
    <t>معاون أمين مكتبة</t>
  </si>
  <si>
    <t>المستوى الأول</t>
  </si>
  <si>
    <t>المستوى الثاني</t>
  </si>
  <si>
    <t>المستوى الثالث</t>
  </si>
  <si>
    <t>المستوى الرابع</t>
  </si>
  <si>
    <t>مجموع العاملين في المدرسة</t>
  </si>
  <si>
    <t>الأسم الثلاثي و الخاتم والتوقيع</t>
  </si>
  <si>
    <t>الأسم الثلاثي والتوقيع</t>
  </si>
  <si>
    <t>مجموع الطلاب حسب الصف</t>
  </si>
  <si>
    <t>حلقة(2)</t>
  </si>
  <si>
    <t>حلقة(1)</t>
  </si>
  <si>
    <t>خارج الملاك</t>
  </si>
  <si>
    <t>مشرف جاهزية</t>
  </si>
  <si>
    <t>استعدوا</t>
  </si>
  <si>
    <t>ارشاد نفسي</t>
  </si>
  <si>
    <t>الأول الثانوي</t>
  </si>
  <si>
    <t>الثاني الثانوي</t>
  </si>
  <si>
    <t>الثالث الثانوي</t>
  </si>
  <si>
    <t>منهاج ب</t>
  </si>
  <si>
    <t>ثانوي</t>
  </si>
  <si>
    <t>رياض</t>
  </si>
  <si>
    <t>البيان الشهري ( مدارس - رياض )</t>
  </si>
  <si>
    <t>الرقم الوطني</t>
  </si>
  <si>
    <t>يوم</t>
  </si>
  <si>
    <t>شهر</t>
  </si>
  <si>
    <t>سنة</t>
  </si>
  <si>
    <t>تاريخ المباشرة بالعمل الإداري الحالي</t>
  </si>
  <si>
    <t>مساعد داخل الملاك</t>
  </si>
  <si>
    <t>تاريخ التسليم:</t>
  </si>
  <si>
    <t>عام:</t>
  </si>
  <si>
    <t>بيان عن شهر:</t>
  </si>
  <si>
    <t>اسم موظف البيانات المستلم:</t>
  </si>
  <si>
    <t xml:space="preserve">اهلية تعليم </t>
  </si>
  <si>
    <t>دبلوم</t>
  </si>
  <si>
    <t>ماجستير</t>
  </si>
  <si>
    <t>دكتوراه</t>
  </si>
  <si>
    <t>الاختصاص( جهاز اداري+تدريسي)</t>
  </si>
  <si>
    <t>شهادات عليا</t>
  </si>
  <si>
    <t>ثانوية</t>
  </si>
  <si>
    <t>جامعة</t>
  </si>
  <si>
    <t>لايوجد</t>
  </si>
  <si>
    <t>اهلية تعليم</t>
  </si>
  <si>
    <t>العمل المسند مهني</t>
  </si>
  <si>
    <t>مستخدم</t>
  </si>
  <si>
    <t>حارس</t>
  </si>
  <si>
    <t>توقيعه:</t>
  </si>
  <si>
    <t>مهني</t>
  </si>
  <si>
    <t>نوع الدوام:</t>
  </si>
  <si>
    <t>مشترك مع:</t>
  </si>
  <si>
    <t>نوع الدوام(كامل أو نصفي)</t>
  </si>
  <si>
    <t>نوع الدوام</t>
  </si>
  <si>
    <t>المنطقة التعليمية</t>
  </si>
  <si>
    <t>الحفة</t>
  </si>
  <si>
    <t>القرداحة</t>
  </si>
  <si>
    <t>جبلة</t>
  </si>
  <si>
    <t>مدينة</t>
  </si>
  <si>
    <t>منطقة</t>
  </si>
  <si>
    <t>1+2</t>
  </si>
  <si>
    <t>2+3</t>
  </si>
  <si>
    <t>1+2+3</t>
  </si>
  <si>
    <t>منهاج ريفي</t>
  </si>
  <si>
    <t>الأول الثانوي(أدبي)</t>
  </si>
  <si>
    <t>الثاني الثانوي(أدبي)</t>
  </si>
  <si>
    <t>الثالث الثانوي(أدبي)</t>
  </si>
  <si>
    <t>الأول الثانوي(علمي)</t>
  </si>
  <si>
    <t>الثاني الثانوي(علمي)</t>
  </si>
  <si>
    <t>الثالث الثانوي(علمي)</t>
  </si>
  <si>
    <t xml:space="preserve">      </t>
  </si>
  <si>
    <t>منهاج التعليم الريفي</t>
  </si>
  <si>
    <t>الرقم الاحصائي</t>
  </si>
  <si>
    <t>داخل او خارج الملاك</t>
  </si>
  <si>
    <t>داخل الملاك</t>
  </si>
  <si>
    <t>w</t>
  </si>
  <si>
    <t>العمل المسند إليه (الجهاز الاداري)</t>
  </si>
  <si>
    <t>انشطة لاصفية</t>
  </si>
  <si>
    <t>كاتب</t>
  </si>
  <si>
    <t>معهد</t>
  </si>
  <si>
    <t>أخرى</t>
  </si>
  <si>
    <t>عقود</t>
  </si>
  <si>
    <t>تجارة واقتصاد</t>
  </si>
  <si>
    <t>احتياط</t>
  </si>
  <si>
    <t>اعمال يدوية</t>
  </si>
  <si>
    <t>اقتصاد منزلي</t>
  </si>
  <si>
    <t>تربية عسكرية</t>
  </si>
  <si>
    <t>حقوق</t>
  </si>
  <si>
    <t>تربية</t>
  </si>
  <si>
    <t>فلسفة</t>
  </si>
  <si>
    <t>تسيير أمور (ادارة)</t>
  </si>
  <si>
    <t>ادراة + او توجيه او مرشد تدريس؟؟</t>
  </si>
  <si>
    <r>
      <t xml:space="preserve">5- </t>
    </r>
    <r>
      <rPr>
        <sz val="12"/>
        <color rgb="FF000000"/>
        <rFont val="Arial"/>
        <family val="2"/>
      </rPr>
      <t>يتم تسليم ثلاث نسخ اصلية من البيان للمدارس المستولى عليها الى دائرة ( الخاص - الثانوي - الأساسي )</t>
    </r>
  </si>
  <si>
    <t>امين مخبر</t>
  </si>
  <si>
    <t>مساعد امين مخبر</t>
  </si>
  <si>
    <t xml:space="preserve">امين سر حاسوب </t>
  </si>
  <si>
    <t xml:space="preserve">م.امين سر حاسوب </t>
  </si>
  <si>
    <t>م.امين مخبر</t>
  </si>
  <si>
    <t>م.امين سر حاسوب</t>
  </si>
  <si>
    <t>عددالمعلمين</t>
  </si>
  <si>
    <t>المدرسين</t>
  </si>
  <si>
    <t>م.مساعد</t>
  </si>
  <si>
    <t>عدد الغرف الغير مستخدمة</t>
  </si>
  <si>
    <t>3- هذا البيان  رسمي ومعتمد من قبل مديرية التربية والتعليم باللاذقية ولا يقبل اي بيان أو صيغة أخرى</t>
  </si>
  <si>
    <t>صحية</t>
  </si>
  <si>
    <t>أمومة</t>
  </si>
  <si>
    <t>بلا أجر</t>
  </si>
  <si>
    <t>نوع الاجازة</t>
  </si>
  <si>
    <t>ارشاد</t>
  </si>
  <si>
    <t>المعلمين</t>
  </si>
  <si>
    <t>مهندس</t>
  </si>
  <si>
    <t>اخرى</t>
  </si>
  <si>
    <t>الجهاز التدريسي حسب الاختصاصات</t>
  </si>
  <si>
    <t>عدد الجهاز التدريسي غير المصنف</t>
  </si>
  <si>
    <t>عدد كل العاملين في الجهاز الإداري</t>
  </si>
  <si>
    <t>الجهاز التدريسي بشكل كامل</t>
  </si>
  <si>
    <t>موافقات وزارية</t>
  </si>
  <si>
    <t>محافظة</t>
  </si>
  <si>
    <t>اسم المدرسة</t>
  </si>
  <si>
    <t>تجاري مصرفي</t>
  </si>
  <si>
    <t>اعدادية</t>
  </si>
  <si>
    <t xml:space="preserve">  الجهاز الفني (مستخدمين وحراس وعمال مهنيين)</t>
  </si>
  <si>
    <r>
      <rPr>
        <b/>
        <sz val="18"/>
        <color indexed="8"/>
        <rFont val="Arial"/>
        <family val="2"/>
      </rPr>
      <t>ملاحظة</t>
    </r>
    <r>
      <rPr>
        <sz val="18"/>
        <color indexed="8"/>
        <rFont val="Arial"/>
        <family val="2"/>
      </rPr>
      <t xml:space="preserve"> :  يتم تسليم </t>
    </r>
    <r>
      <rPr>
        <b/>
        <sz val="18"/>
        <color indexed="8"/>
        <rFont val="Arial"/>
        <family val="2"/>
      </rPr>
      <t>ورقة</t>
    </r>
    <r>
      <rPr>
        <sz val="18"/>
        <color indexed="8"/>
        <rFont val="Arial"/>
        <family val="2"/>
      </rPr>
      <t xml:space="preserve"> التعديلات الطارئة مع البيان الشهري في الوقت المتاح للتسليم وذلك في أول </t>
    </r>
    <r>
      <rPr>
        <b/>
        <sz val="18"/>
        <color indexed="8"/>
        <rFont val="Arial"/>
        <family val="2"/>
      </rPr>
      <t>10</t>
    </r>
    <r>
      <rPr>
        <sz val="18"/>
        <color indexed="8"/>
        <rFont val="Arial"/>
        <family val="2"/>
      </rPr>
      <t xml:space="preserve"> أيام من كل شهر ويرجى توقيع و</t>
    </r>
    <r>
      <rPr>
        <b/>
        <sz val="18"/>
        <color indexed="8"/>
        <rFont val="Arial"/>
        <family val="2"/>
      </rPr>
      <t>ختم</t>
    </r>
    <r>
      <rPr>
        <sz val="18"/>
        <color indexed="8"/>
        <rFont val="Arial"/>
        <family val="2"/>
      </rPr>
      <t xml:space="preserve"> الورقة وتسليمها  من قبل مدير المدرسة أوأمين السر حصرا </t>
    </r>
    <r>
      <rPr>
        <b/>
        <u/>
        <sz val="18"/>
        <color rgb="FF000000"/>
        <rFont val="Arial"/>
        <family val="2"/>
      </rPr>
      <t>&lt;في حال لايوجد تعديلات نكتب داخلها لايوجد تعديل&gt;</t>
    </r>
  </si>
  <si>
    <t xml:space="preserve">أعداد التلاميذ والطلاب المتوقعة للعام الدراسي القادم </t>
  </si>
  <si>
    <t>مدرسة:</t>
  </si>
  <si>
    <t>مأجورة</t>
  </si>
  <si>
    <t>مكتبات</t>
  </si>
  <si>
    <t>معهد موسيقا</t>
  </si>
  <si>
    <t>مناهج</t>
  </si>
  <si>
    <t>غير محدد</t>
  </si>
  <si>
    <t>إدارة وتخطيط</t>
  </si>
  <si>
    <t>ق.38</t>
  </si>
  <si>
    <t>علوم سياسية</t>
  </si>
  <si>
    <t>تقنيات حاسوب</t>
  </si>
  <si>
    <t>ملاحظات/عن أي بيانات مدخلة/</t>
  </si>
  <si>
    <t>نوع الوثيقة / موافقة وزارية</t>
  </si>
  <si>
    <t>عنوان المدرسة بالتفصيل</t>
  </si>
  <si>
    <r>
      <t xml:space="preserve">1- يتم تسليم البيان الشهري </t>
    </r>
    <r>
      <rPr>
        <b/>
        <u/>
        <sz val="12"/>
        <color theme="1"/>
        <rFont val="Calibri"/>
        <family val="2"/>
        <scheme val="minor"/>
      </rPr>
      <t>عن الشهر الذي انتهى</t>
    </r>
    <r>
      <rPr>
        <b/>
        <sz val="12"/>
        <color theme="1"/>
        <rFont val="Calibri"/>
        <family val="2"/>
        <scheme val="minor"/>
      </rPr>
      <t xml:space="preserve">  من 1 لغاية 10 من كل شهر </t>
    </r>
    <r>
      <rPr>
        <b/>
        <u/>
        <sz val="12"/>
        <color theme="1"/>
        <rFont val="Calibri"/>
        <family val="2"/>
        <scheme val="minor"/>
      </rPr>
      <t>ورقياً</t>
    </r>
    <r>
      <rPr>
        <b/>
        <sz val="12"/>
        <color theme="1"/>
        <rFont val="Calibri"/>
        <family val="2"/>
        <scheme val="minor"/>
      </rPr>
      <t xml:space="preserve">,  وفي </t>
    </r>
    <r>
      <rPr>
        <b/>
        <u/>
        <sz val="12"/>
        <color theme="1"/>
        <rFont val="Calibri"/>
        <family val="2"/>
        <scheme val="minor"/>
      </rPr>
      <t>بداية كل فصل دراسي الكترونياً.</t>
    </r>
  </si>
  <si>
    <r>
      <rPr>
        <b/>
        <sz val="12"/>
        <color indexed="8"/>
        <rFont val="Arial"/>
        <family val="2"/>
      </rPr>
      <t>4-</t>
    </r>
    <r>
      <rPr>
        <sz val="12"/>
        <color indexed="8"/>
        <rFont val="Arial"/>
        <family val="2"/>
      </rPr>
      <t xml:space="preserve"> يتم تسليم </t>
    </r>
    <r>
      <rPr>
        <b/>
        <sz val="12"/>
        <color rgb="FF000000"/>
        <rFont val="Arial"/>
        <family val="2"/>
      </rPr>
      <t>نسختين</t>
    </r>
    <r>
      <rPr>
        <sz val="12"/>
        <color indexed="8"/>
        <rFont val="Arial"/>
        <family val="2"/>
      </rPr>
      <t xml:space="preserve"> اصلييتين من البيان الشهري للمدارس الثانوية المشتركة مع مدارس مرحلة التعليم الأساسي ( إدارة واحدة ) لكل دائرة نسخة.</t>
    </r>
  </si>
  <si>
    <t>5- يتم تسليم جدول نتائج نهاية العام مرة واحدة في نهاية العام الدراسي فقط بعد صدور النتائج.</t>
  </si>
  <si>
    <t>6- في حالة وجود دمج للشعب نكتب 0 بأحد الشعب و 1 بالشعبة الثانية.</t>
  </si>
  <si>
    <t xml:space="preserve">جدول التعديلات الطارئة على بيان مدرسة: </t>
  </si>
  <si>
    <t>جدول نتائج نهاية العام لمدرسة:</t>
  </si>
  <si>
    <t>أسماء الأشهر</t>
  </si>
  <si>
    <t>1 / يناير / كانون الثاني</t>
  </si>
  <si>
    <t>2 / فبراير / شباط</t>
  </si>
  <si>
    <t>3 / مارس / آذار</t>
  </si>
  <si>
    <t>4 / أبريل / نيسان</t>
  </si>
  <si>
    <t>5 / مايو / أيار</t>
  </si>
  <si>
    <t>6 / يونيو / حزيران</t>
  </si>
  <si>
    <t>7 / يوليو / تموز</t>
  </si>
  <si>
    <t>8 / أغسطس / آب</t>
  </si>
  <si>
    <t>9 / سبتمبر / أيلول</t>
  </si>
  <si>
    <t>10 / أكتوبر / تشرين الأول</t>
  </si>
  <si>
    <t>11 / نوفمبر / تشرين الثاني</t>
  </si>
  <si>
    <t>12 / ديسمبر / كانون الأول </t>
  </si>
  <si>
    <t>2- يرجى ختم جميع الأوراق و حذف اسماء من حصل على اجازة خاصة بلا أجر مدة / ٩٠ / يوم وما يزيد (مع ذكر الحالات المشار إليها آنفاً في ورقة التعديلات الطارئة عند وقوعها)</t>
  </si>
  <si>
    <t>المدينة</t>
  </si>
  <si>
    <t>طارق بن زياد</t>
  </si>
  <si>
    <t>اولى</t>
  </si>
  <si>
    <t>طريق الحرش-نزلة مسبح الشعب</t>
  </si>
  <si>
    <t>حكومي</t>
  </si>
  <si>
    <t>واحد</t>
  </si>
  <si>
    <t>صفر</t>
  </si>
  <si>
    <t>اثنان</t>
  </si>
  <si>
    <t>06010213091</t>
  </si>
  <si>
    <t>غادة مصطفى عاشور</t>
  </si>
  <si>
    <t>حليمة</t>
  </si>
  <si>
    <t>0937065156</t>
  </si>
  <si>
    <t>الكورنيش الجنوبي</t>
  </si>
  <si>
    <t>06180000185</t>
  </si>
  <si>
    <t>عدنان احمد حسن</t>
  </si>
  <si>
    <t>حبابة</t>
  </si>
  <si>
    <t>0932248700</t>
  </si>
  <si>
    <t>مسبح الشعب</t>
  </si>
  <si>
    <t>06060025322</t>
  </si>
  <si>
    <t>تمام نصر حمود</t>
  </si>
  <si>
    <t>أميرة</t>
  </si>
  <si>
    <t>0998778253</t>
  </si>
  <si>
    <t>الرمل الشمالي</t>
  </si>
  <si>
    <t>06010041760</t>
  </si>
  <si>
    <t>مالك احمد شريقي</t>
  </si>
  <si>
    <t>خالدية</t>
  </si>
  <si>
    <t>0992331244</t>
  </si>
  <si>
    <t>مشروع الثاني</t>
  </si>
  <si>
    <t>06010096790</t>
  </si>
  <si>
    <t>مصطفى احمد عبد الهادي</t>
  </si>
  <si>
    <t>فاطمة</t>
  </si>
  <si>
    <t>0936495880</t>
  </si>
  <si>
    <t>حي القصور</t>
  </si>
  <si>
    <t>06010072994</t>
  </si>
  <si>
    <t>عمار ابراهيم ديب</t>
  </si>
  <si>
    <t>المازة</t>
  </si>
  <si>
    <t>علم اجتماع</t>
  </si>
  <si>
    <t>0988399040</t>
  </si>
  <si>
    <t>الدعتور</t>
  </si>
  <si>
    <t>06010128294</t>
  </si>
  <si>
    <t>نور تركي طالب</t>
  </si>
  <si>
    <t>ثناء</t>
  </si>
  <si>
    <t>أهلية تعليم</t>
  </si>
  <si>
    <t>أمين سر</t>
  </si>
  <si>
    <t>0982763984</t>
  </si>
  <si>
    <t>وزارية</t>
  </si>
  <si>
    <t>06180022570</t>
  </si>
  <si>
    <t>رنا يحيى خالدو</t>
  </si>
  <si>
    <t>حميدة</t>
  </si>
  <si>
    <t>جميع المواد</t>
  </si>
  <si>
    <t>الشاليهات الجنوبية</t>
  </si>
  <si>
    <t>أسماء محمد صباغ</t>
  </si>
  <si>
    <t>سعاد</t>
  </si>
  <si>
    <t>18</t>
  </si>
  <si>
    <t>اسكنتوري</t>
  </si>
  <si>
    <t xml:space="preserve">درية محمد فاروق وزان
</t>
  </si>
  <si>
    <t>آمنة</t>
  </si>
  <si>
    <t xml:space="preserve">طريق الحرش
</t>
  </si>
  <si>
    <t xml:space="preserve">بشرى محمد رشاد يورفلي
</t>
  </si>
  <si>
    <t>سناء</t>
  </si>
  <si>
    <t xml:space="preserve">ديانا أحمد غاوي
</t>
  </si>
  <si>
    <t xml:space="preserve">عبيرعمر مكحل
</t>
  </si>
  <si>
    <t>جهان</t>
  </si>
  <si>
    <t>اجتماعية</t>
  </si>
  <si>
    <t>صليبة</t>
  </si>
  <si>
    <t xml:space="preserve">كارول نبيل كباس
</t>
  </si>
  <si>
    <t>مها</t>
  </si>
  <si>
    <t>ش 8آذار</t>
  </si>
  <si>
    <t xml:space="preserve">نور نظير محمد
</t>
  </si>
  <si>
    <t>نوال</t>
  </si>
  <si>
    <t>رمل شمالي</t>
  </si>
  <si>
    <t xml:space="preserve">شذا فائز البدري
</t>
  </si>
  <si>
    <t>نهلا</t>
  </si>
  <si>
    <t>14</t>
  </si>
  <si>
    <t>2020</t>
  </si>
  <si>
    <t>طريق الحرش</t>
  </si>
  <si>
    <t xml:space="preserve">فاطمة خالد شحادة
</t>
  </si>
  <si>
    <t>منى</t>
  </si>
  <si>
    <t>قرب التربية</t>
  </si>
  <si>
    <t>رنيم فهيم صبيحة</t>
  </si>
  <si>
    <t>نجاح</t>
  </si>
  <si>
    <t>2014</t>
  </si>
  <si>
    <t>27</t>
  </si>
  <si>
    <t>9</t>
  </si>
  <si>
    <t>2021</t>
  </si>
  <si>
    <t>0937372915</t>
  </si>
  <si>
    <t>سنجوان</t>
  </si>
  <si>
    <t>صبا عهد اسماعيل</t>
  </si>
  <si>
    <t>رحاب</t>
  </si>
  <si>
    <t>راما باسم حمود</t>
  </si>
  <si>
    <t>صباح</t>
  </si>
  <si>
    <t xml:space="preserve">مرح محمد احسان
</t>
  </si>
  <si>
    <t>انصاف</t>
  </si>
  <si>
    <t>المشروع السابع</t>
  </si>
  <si>
    <t>نورا جهاد معلا</t>
  </si>
  <si>
    <t>نهاوند</t>
  </si>
  <si>
    <t>استراد الثورة</t>
  </si>
  <si>
    <t>06160031579</t>
  </si>
  <si>
    <t>فادي ياسين الصباح</t>
  </si>
  <si>
    <t>صبرية</t>
  </si>
  <si>
    <t>تعميق</t>
  </si>
  <si>
    <t>2004</t>
  </si>
  <si>
    <t>16</t>
  </si>
  <si>
    <t>10</t>
  </si>
  <si>
    <t>2025</t>
  </si>
  <si>
    <t>0996425090</t>
  </si>
  <si>
    <t>شريتح</t>
  </si>
  <si>
    <t>إباء جميل طه</t>
  </si>
  <si>
    <t>فيروز</t>
  </si>
  <si>
    <t>ضاحية الاسكان</t>
  </si>
  <si>
    <t>مهند يحيى خضورة</t>
  </si>
  <si>
    <t>2011</t>
  </si>
  <si>
    <t>12</t>
  </si>
  <si>
    <t>2024</t>
  </si>
  <si>
    <t>0982816283</t>
  </si>
  <si>
    <t>الرمل الجنوبي</t>
  </si>
  <si>
    <t>06020023219</t>
  </si>
  <si>
    <t>سمر سمير اسماعيل</t>
  </si>
  <si>
    <t>2006</t>
  </si>
  <si>
    <t>11</t>
  </si>
  <si>
    <t>القلعة</t>
  </si>
  <si>
    <t>لارا ياسر الداده</t>
  </si>
  <si>
    <t>سوسن</t>
  </si>
  <si>
    <t>2016</t>
  </si>
  <si>
    <t>30</t>
  </si>
  <si>
    <t>4</t>
  </si>
  <si>
    <t>0938676424</t>
  </si>
  <si>
    <t>مشروع البعث</t>
  </si>
  <si>
    <t>07260000135</t>
  </si>
  <si>
    <t>غزوة احمد الشيخ</t>
  </si>
  <si>
    <t>زهية</t>
  </si>
  <si>
    <t xml:space="preserve">عائدة خالد محلول
</t>
  </si>
  <si>
    <t>سكينة</t>
  </si>
  <si>
    <t>عين التمرة</t>
  </si>
  <si>
    <t>07090157037</t>
  </si>
  <si>
    <t>اسراء محمد ناصر الحيدر</t>
  </si>
  <si>
    <t>زهرة</t>
  </si>
  <si>
    <t>22</t>
  </si>
  <si>
    <t>0996957222</t>
  </si>
  <si>
    <t>سوزان محمد نصر العوض</t>
  </si>
  <si>
    <t>وفاء</t>
  </si>
  <si>
    <t>ش انطاكية</t>
  </si>
  <si>
    <t>07010080014</t>
  </si>
  <si>
    <t>رفاه نعسان جوري</t>
  </si>
  <si>
    <t>هدى</t>
  </si>
  <si>
    <t>09010072951</t>
  </si>
  <si>
    <t xml:space="preserve">بتول نجاح الشاهر </t>
  </si>
  <si>
    <t>كفاء</t>
  </si>
  <si>
    <t>03320023373</t>
  </si>
  <si>
    <t>مصطفى عبد اللطيف زكريا</t>
  </si>
  <si>
    <t>2023</t>
  </si>
  <si>
    <t>أيمن أرسلان علو</t>
  </si>
  <si>
    <t>عطاف</t>
  </si>
  <si>
    <t xml:space="preserve">تغريد حسين اشبيرقي
</t>
  </si>
  <si>
    <t>عريفة</t>
  </si>
  <si>
    <t xml:space="preserve">سناء مصطفى وليو
</t>
  </si>
  <si>
    <t>انتصار</t>
  </si>
  <si>
    <t xml:space="preserve">نسرين حسين اشبيرقي
</t>
  </si>
  <si>
    <t>06180027342</t>
  </si>
  <si>
    <t>محمد احمد زمو</t>
  </si>
  <si>
    <t>فائزة</t>
  </si>
  <si>
    <t>24</t>
  </si>
  <si>
    <t>0960974320</t>
  </si>
  <si>
    <t>06180001180</t>
  </si>
  <si>
    <t>زهيرة زهير نحاس</t>
  </si>
  <si>
    <t>فاديا</t>
  </si>
  <si>
    <t xml:space="preserve">مارتقلا </t>
  </si>
  <si>
    <t xml:space="preserve">اكرام عبد الكريم العزام </t>
  </si>
  <si>
    <t xml:space="preserve">زهرة </t>
  </si>
  <si>
    <t xml:space="preserve">بستان السمكة </t>
  </si>
  <si>
    <t>أمينة محمد قبلاوي</t>
  </si>
  <si>
    <t>نجوى</t>
  </si>
  <si>
    <t>06010102479</t>
  </si>
  <si>
    <t>هزار محمد طرابلسي</t>
  </si>
  <si>
    <t>02320022605</t>
  </si>
  <si>
    <t>سارة خالد القاسم</t>
  </si>
  <si>
    <t>مشروع صليبة</t>
  </si>
  <si>
    <t>06040004464</t>
  </si>
  <si>
    <t>ابتسام نجم تامر</t>
  </si>
  <si>
    <t>ريما</t>
  </si>
  <si>
    <t>29</t>
  </si>
  <si>
    <t>0955382604</t>
  </si>
  <si>
    <t>القنجرة</t>
  </si>
  <si>
    <t>06010036216</t>
  </si>
  <si>
    <t>مادلين أشرف خواشقي</t>
  </si>
  <si>
    <t>سمر</t>
  </si>
  <si>
    <t>0993745134</t>
  </si>
  <si>
    <t>06010166799</t>
  </si>
  <si>
    <t>مرح فؤاد علاء الدين</t>
  </si>
  <si>
    <t>خولة</t>
  </si>
  <si>
    <t>0956520416</t>
  </si>
  <si>
    <t>الطابيات</t>
  </si>
  <si>
    <t>عفراء مصطفى درويشو</t>
  </si>
  <si>
    <t>صفاء</t>
  </si>
  <si>
    <t>ديانة</t>
  </si>
  <si>
    <t>0983569653</t>
  </si>
  <si>
    <t>07210076809</t>
  </si>
  <si>
    <t>وفاء محمد جمال حمامي البو</t>
  </si>
  <si>
    <t>نادرة</t>
  </si>
  <si>
    <t>كل المواد</t>
  </si>
  <si>
    <t>0983115934</t>
  </si>
  <si>
    <t>الزراعة</t>
  </si>
  <si>
    <t>06010158482</t>
  </si>
  <si>
    <t>خالدية بديع عدرة</t>
  </si>
  <si>
    <t>زاهدة</t>
  </si>
  <si>
    <t>0956113603</t>
  </si>
  <si>
    <t>06010311116</t>
  </si>
  <si>
    <t xml:space="preserve">شيراز محمد كبتول
</t>
  </si>
  <si>
    <t>ناهدة</t>
  </si>
  <si>
    <t>0938685574</t>
  </si>
  <si>
    <t>06160017783</t>
  </si>
  <si>
    <t>محمد علي سليمان</t>
  </si>
  <si>
    <t>مريم</t>
  </si>
  <si>
    <t>0934546730</t>
  </si>
  <si>
    <t>05130030608</t>
  </si>
  <si>
    <t>أمينة قاسم قاسم</t>
  </si>
  <si>
    <t>0951478205</t>
  </si>
  <si>
    <t>06190014541</t>
  </si>
  <si>
    <t>رمزة احمد المهر</t>
  </si>
  <si>
    <t>سجيعه</t>
  </si>
  <si>
    <t>0937278205</t>
  </si>
  <si>
    <t>جب حسن</t>
  </si>
  <si>
    <t>06020017366</t>
  </si>
  <si>
    <t>هبة احمد سلطانة</t>
  </si>
  <si>
    <t>0993263973</t>
  </si>
  <si>
    <t>صلنفة الدوحة</t>
  </si>
  <si>
    <t>06050010025</t>
  </si>
  <si>
    <t>ندى محمد مياسة</t>
  </si>
  <si>
    <t>عطرة</t>
  </si>
  <si>
    <t>ابتدائية</t>
  </si>
  <si>
    <t>0934579291</t>
  </si>
  <si>
    <t>العمرونية</t>
  </si>
  <si>
    <t>06020086463</t>
  </si>
  <si>
    <t>مريم ابراهيم حماد</t>
  </si>
  <si>
    <t>ابتسام</t>
  </si>
  <si>
    <t>0992177257</t>
  </si>
  <si>
    <t>07240173907</t>
  </si>
  <si>
    <t>مرام الشيخ رشيد</t>
  </si>
  <si>
    <t>نهيدة</t>
  </si>
  <si>
    <t>0939637784</t>
  </si>
  <si>
    <t>حطين</t>
  </si>
  <si>
    <t xml:space="preserve">طارق بن زياد </t>
  </si>
  <si>
    <t xml:space="preserve">2026           عن شهر    /                            /    لعام </t>
  </si>
  <si>
    <t xml:space="preserve">2026           تاريخ التسليم لدائرة التعليم الأساسي    /                            /    لعام </t>
  </si>
  <si>
    <t>06010228778</t>
  </si>
  <si>
    <t>06010277605</t>
  </si>
  <si>
    <t>06010137857</t>
  </si>
  <si>
    <t>06010018387</t>
  </si>
  <si>
    <t>0601077721</t>
  </si>
  <si>
    <t>06010086042</t>
  </si>
  <si>
    <t>06100061849</t>
  </si>
  <si>
    <t>06180009286</t>
  </si>
  <si>
    <t>06020076843</t>
  </si>
  <si>
    <t>06010084188</t>
  </si>
  <si>
    <t>06010008354</t>
  </si>
  <si>
    <t>06050000731</t>
  </si>
  <si>
    <t>06010117808</t>
  </si>
  <si>
    <t>07260010026</t>
  </si>
  <si>
    <t>06180016518</t>
  </si>
  <si>
    <t>07260010034</t>
  </si>
  <si>
    <t>07090162690</t>
  </si>
  <si>
    <t>06010130633</t>
  </si>
  <si>
    <t>05520005604</t>
  </si>
  <si>
    <t>0959808417</t>
  </si>
  <si>
    <t>0955340519</t>
  </si>
  <si>
    <t>0949879068</t>
  </si>
  <si>
    <t>0966996166</t>
  </si>
  <si>
    <t>0988355619</t>
  </si>
  <si>
    <t>0994002326</t>
  </si>
  <si>
    <t>0988514169</t>
  </si>
  <si>
    <t>0993230024</t>
  </si>
  <si>
    <t>0962076843</t>
  </si>
  <si>
    <t>0940540710</t>
  </si>
  <si>
    <t>0934019625</t>
  </si>
  <si>
    <t>0964907006</t>
  </si>
  <si>
    <t>0932433918</t>
  </si>
  <si>
    <t>0992810892</t>
  </si>
  <si>
    <t>0991783298</t>
  </si>
  <si>
    <t>0930994212</t>
  </si>
  <si>
    <t>0935682388</t>
  </si>
  <si>
    <t>0991527217</t>
  </si>
  <si>
    <t>العوينة</t>
  </si>
  <si>
    <t>مستخدمة</t>
  </si>
  <si>
    <t>تقاعد</t>
  </si>
  <si>
    <t>ستة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</si>
</sst>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name val="Arial"/>
      <family val="2"/>
      <charset val="178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ndalus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b/>
      <sz val="2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20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8"/>
      <color indexed="8"/>
      <name val="Arial"/>
      <family val="2"/>
    </font>
    <font>
      <b/>
      <sz val="12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178"/>
      <scheme val="minor"/>
    </font>
    <font>
      <b/>
      <sz val="12"/>
      <color rgb="FFFF0000"/>
      <name val="Calibri"/>
      <family val="2"/>
      <scheme val="minor"/>
    </font>
    <font>
      <b/>
      <sz val="22"/>
      <color theme="1"/>
      <name val="Algerian"/>
      <family val="5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u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16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b/>
      <u/>
      <sz val="18"/>
      <color rgb="FF000000"/>
      <name val="Arial"/>
      <family val="2"/>
    </font>
    <font>
      <sz val="8"/>
      <color theme="1"/>
      <name val="Calibri"/>
      <family val="2"/>
      <charset val="178"/>
      <scheme val="minor"/>
    </font>
    <font>
      <sz val="20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2"/>
      <color theme="1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3"/>
      <color rgb="FF000000"/>
      <name val="Arial"/>
      <family val="2"/>
    </font>
    <font>
      <sz val="13"/>
      <color rgb="FF000000"/>
      <name val="Arial"/>
      <family val="2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6"/>
      <color rgb="FF000000"/>
      <name val="Arial"/>
      <family val="2"/>
    </font>
    <font>
      <sz val="16"/>
      <color rgb="FF000000"/>
      <name val="Arial"/>
      <family val="2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CDB"/>
        <bgColor indexed="64"/>
      </patternFill>
    </fill>
  </fills>
  <borders count="9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theme="5" tint="-0.499984740745262"/>
      </left>
      <right/>
      <top style="thin">
        <color indexed="64"/>
      </top>
      <bottom/>
      <diagonal/>
    </border>
    <border>
      <left style="double">
        <color theme="5" tint="-0.499984740745262"/>
      </left>
      <right/>
      <top style="thin">
        <color indexed="64"/>
      </top>
      <bottom style="double">
        <color theme="5" tint="-0.499984740745262"/>
      </bottom>
      <diagonal/>
    </border>
    <border>
      <left style="double">
        <color theme="5" tint="-0.499984740745262"/>
      </left>
      <right style="double">
        <color theme="5" tint="-0.499984740745262"/>
      </right>
      <top style="thin">
        <color indexed="64"/>
      </top>
      <bottom/>
      <diagonal/>
    </border>
    <border>
      <left style="double">
        <color theme="5" tint="-0.499984740745262"/>
      </left>
      <right style="double">
        <color theme="5" tint="-0.499984740745262"/>
      </right>
      <top style="thin">
        <color indexed="64"/>
      </top>
      <bottom style="double">
        <color theme="5" tint="-0.499984740745262"/>
      </bottom>
      <diagonal/>
    </border>
    <border>
      <left style="double">
        <color theme="5" tint="-0.499984740745262"/>
      </left>
      <right style="double">
        <color theme="5" tint="-0.499984740745262"/>
      </right>
      <top/>
      <bottom style="thin">
        <color indexed="64"/>
      </bottom>
      <diagonal/>
    </border>
    <border>
      <left style="double">
        <color theme="5" tint="-0.499984740745262"/>
      </left>
      <right style="double">
        <color theme="5" tint="-0.499984740745262"/>
      </right>
      <top/>
      <bottom/>
      <diagonal/>
    </border>
    <border>
      <left style="thin">
        <color indexed="64"/>
      </left>
      <right style="thin">
        <color indexed="64"/>
      </right>
      <top style="double">
        <color theme="5" tint="-0.499984740745262"/>
      </top>
      <bottom/>
      <diagonal/>
    </border>
    <border>
      <left style="double">
        <color theme="5" tint="-0.499984740745262"/>
      </left>
      <right style="thin">
        <color indexed="64"/>
      </right>
      <top style="thin">
        <color indexed="64"/>
      </top>
      <bottom style="double">
        <color theme="5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5" tint="-0.499984740745262"/>
      </bottom>
      <diagonal/>
    </border>
    <border>
      <left style="thin">
        <color indexed="64"/>
      </left>
      <right/>
      <top style="thin">
        <color indexed="64"/>
      </top>
      <bottom style="double">
        <color theme="5" tint="-0.499984740745262"/>
      </bottom>
      <diagonal/>
    </border>
    <border>
      <left style="thin">
        <color indexed="64"/>
      </left>
      <right/>
      <top style="double">
        <color theme="5" tint="-0.499984740745262"/>
      </top>
      <bottom/>
      <diagonal/>
    </border>
    <border>
      <left style="double">
        <color rgb="FF642523"/>
      </left>
      <right/>
      <top style="double">
        <color rgb="FF642523"/>
      </top>
      <bottom style="thin">
        <color indexed="64"/>
      </bottom>
      <diagonal/>
    </border>
    <border>
      <left style="double">
        <color rgb="FF642523"/>
      </left>
      <right style="double">
        <color rgb="FF642523"/>
      </right>
      <top style="double">
        <color rgb="FF642523"/>
      </top>
      <bottom style="thin">
        <color indexed="64"/>
      </bottom>
      <diagonal/>
    </border>
    <border>
      <left style="double">
        <color rgb="FF642523"/>
      </left>
      <right/>
      <top style="thin">
        <color indexed="64"/>
      </top>
      <bottom style="thin">
        <color indexed="64"/>
      </bottom>
      <diagonal/>
    </border>
    <border>
      <left style="double">
        <color rgb="FF642523"/>
      </left>
      <right style="double">
        <color rgb="FF642523"/>
      </right>
      <top style="thin">
        <color indexed="64"/>
      </top>
      <bottom style="thin">
        <color indexed="64"/>
      </bottom>
      <diagonal/>
    </border>
    <border>
      <left style="double">
        <color rgb="FF642523"/>
      </left>
      <right/>
      <top style="thin">
        <color indexed="64"/>
      </top>
      <bottom/>
      <diagonal/>
    </border>
    <border>
      <left style="double">
        <color rgb="FF642523"/>
      </left>
      <right style="double">
        <color rgb="FF642523"/>
      </right>
      <top style="thin">
        <color indexed="64"/>
      </top>
      <bottom/>
      <diagonal/>
    </border>
    <border>
      <left style="double">
        <color rgb="FF642523"/>
      </left>
      <right/>
      <top style="double">
        <color rgb="FF642523"/>
      </top>
      <bottom/>
      <diagonal/>
    </border>
    <border>
      <left style="double">
        <color rgb="FF642523"/>
      </left>
      <right style="double">
        <color rgb="FF642523"/>
      </right>
      <top style="double">
        <color rgb="FF642523"/>
      </top>
      <bottom/>
      <diagonal/>
    </border>
    <border>
      <left style="double">
        <color rgb="FF642523"/>
      </left>
      <right style="thin">
        <color indexed="64"/>
      </right>
      <top style="double">
        <color rgb="FF642523"/>
      </top>
      <bottom/>
      <diagonal/>
    </border>
    <border>
      <left style="double">
        <color rgb="FF642523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1" fillId="0" borderId="0"/>
  </cellStyleXfs>
  <cellXfs count="806">
    <xf numFmtId="0" fontId="0" fillId="0" borderId="0" xfId="0"/>
    <xf numFmtId="0" fontId="14" fillId="0" borderId="0" xfId="0" applyFont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16" fillId="0" borderId="0" xfId="0" applyFont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center" vertical="center" shrinkToFit="1" readingOrder="2"/>
      <protection locked="0"/>
    </xf>
    <xf numFmtId="0" fontId="0" fillId="2" borderId="12" xfId="0" applyFill="1" applyBorder="1" applyAlignment="1">
      <alignment horizontal="center" vertical="center" readingOrder="2"/>
    </xf>
    <xf numFmtId="0" fontId="0" fillId="2" borderId="14" xfId="0" applyFill="1" applyBorder="1" applyAlignment="1">
      <alignment horizontal="center" vertical="center" readingOrder="2"/>
    </xf>
    <xf numFmtId="0" fontId="0" fillId="2" borderId="15" xfId="0" applyFill="1" applyBorder="1" applyAlignment="1">
      <alignment horizontal="center" vertical="center" readingOrder="2"/>
    </xf>
    <xf numFmtId="0" fontId="14" fillId="0" borderId="7" xfId="0" applyFont="1" applyBorder="1" applyAlignment="1" applyProtection="1">
      <alignment horizontal="center" vertical="center" readingOrder="2"/>
      <protection locked="0"/>
    </xf>
    <xf numFmtId="0" fontId="0" fillId="0" borderId="17" xfId="0" applyBorder="1" applyAlignment="1">
      <alignment horizontal="center" vertical="center" readingOrder="2"/>
    </xf>
    <xf numFmtId="0" fontId="0" fillId="0" borderId="12" xfId="0" applyBorder="1" applyAlignment="1" applyProtection="1">
      <alignment horizontal="center" vertical="center" readingOrder="2"/>
      <protection locked="0"/>
    </xf>
    <xf numFmtId="0" fontId="0" fillId="0" borderId="13" xfId="0" applyBorder="1" applyAlignment="1">
      <alignment horizontal="center" vertical="center" readingOrder="2"/>
    </xf>
    <xf numFmtId="0" fontId="19" fillId="0" borderId="14" xfId="0" applyFont="1" applyBorder="1" applyAlignment="1">
      <alignment horizontal="center" vertical="center" readingOrder="2"/>
    </xf>
    <xf numFmtId="0" fontId="0" fillId="0" borderId="18" xfId="0" applyBorder="1" applyAlignment="1">
      <alignment horizontal="center" vertical="center" readingOrder="2"/>
    </xf>
    <xf numFmtId="0" fontId="0" fillId="0" borderId="23" xfId="0" applyBorder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right" vertical="center" readingOrder="2"/>
      <protection locked="0"/>
    </xf>
    <xf numFmtId="0" fontId="0" fillId="0" borderId="14" xfId="0" applyBorder="1" applyAlignment="1">
      <alignment horizontal="center" vertical="center" readingOrder="2"/>
    </xf>
    <xf numFmtId="0" fontId="0" fillId="0" borderId="7" xfId="0" applyBorder="1" applyAlignment="1">
      <alignment horizontal="center" vertical="center" readingOrder="2"/>
    </xf>
    <xf numFmtId="0" fontId="0" fillId="0" borderId="12" xfId="0" applyBorder="1" applyAlignment="1">
      <alignment horizontal="center" vertical="center" readingOrder="2"/>
    </xf>
    <xf numFmtId="0" fontId="4" fillId="0" borderId="0" xfId="0" applyFont="1" applyAlignment="1">
      <alignment horizontal="center" vertical="center" wrapText="1" readingOrder="2"/>
    </xf>
    <xf numFmtId="0" fontId="4" fillId="0" borderId="0" xfId="0" applyFont="1" applyAlignment="1" applyProtection="1">
      <alignment horizontal="center" vertical="center" wrapText="1" readingOrder="2"/>
      <protection locked="0"/>
    </xf>
    <xf numFmtId="0" fontId="4" fillId="0" borderId="7" xfId="0" applyFont="1" applyBorder="1" applyAlignment="1" applyProtection="1">
      <alignment horizontal="center" vertical="center" wrapText="1" readingOrder="2"/>
      <protection locked="0"/>
    </xf>
    <xf numFmtId="0" fontId="4" fillId="0" borderId="8" xfId="0" applyFont="1" applyBorder="1" applyAlignment="1" applyProtection="1">
      <alignment horizontal="center" vertical="center" wrapText="1" readingOrder="2"/>
      <protection locked="0"/>
    </xf>
    <xf numFmtId="0" fontId="4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0" xfId="0" applyFont="1" applyBorder="1" applyAlignment="1" applyProtection="1">
      <alignment horizontal="center" vertical="center" wrapText="1" readingOrder="2"/>
      <protection locked="0"/>
    </xf>
    <xf numFmtId="0" fontId="25" fillId="0" borderId="0" xfId="0" applyFont="1" applyAlignment="1">
      <alignment horizontal="center" vertical="center" wrapText="1" readingOrder="2"/>
    </xf>
    <xf numFmtId="0" fontId="18" fillId="4" borderId="6" xfId="0" applyFont="1" applyFill="1" applyBorder="1" applyAlignment="1" applyProtection="1">
      <alignment horizontal="center" vertical="center" shrinkToFit="1" readingOrder="2"/>
      <protection locked="0"/>
    </xf>
    <xf numFmtId="0" fontId="9" fillId="0" borderId="0" xfId="0" applyFont="1" applyAlignment="1" applyProtection="1">
      <alignment horizontal="center" vertical="center" wrapText="1" readingOrder="2"/>
      <protection locked="0"/>
    </xf>
    <xf numFmtId="0" fontId="18" fillId="4" borderId="7" xfId="0" applyFont="1" applyFill="1" applyBorder="1" applyAlignment="1" applyProtection="1">
      <alignment horizontal="center" vertical="center" shrinkToFit="1" readingOrder="2"/>
      <protection locked="0"/>
    </xf>
    <xf numFmtId="0" fontId="9" fillId="4" borderId="0" xfId="0" applyFont="1" applyFill="1" applyAlignment="1" applyProtection="1">
      <alignment horizontal="center" vertical="center" wrapText="1" readingOrder="2"/>
      <protection locked="0"/>
    </xf>
    <xf numFmtId="0" fontId="9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0" xfId="0" applyFont="1" applyAlignment="1" applyProtection="1">
      <alignment horizontal="center" vertical="center" readingOrder="2"/>
      <protection locked="0"/>
    </xf>
    <xf numFmtId="0" fontId="27" fillId="0" borderId="7" xfId="0" applyFont="1" applyBorder="1" applyAlignment="1" applyProtection="1">
      <alignment horizontal="center" vertical="center" shrinkToFit="1" readingOrder="2"/>
      <protection locked="0"/>
    </xf>
    <xf numFmtId="0" fontId="16" fillId="0" borderId="0" xfId="0" applyFont="1" applyAlignment="1">
      <alignment readingOrder="2"/>
    </xf>
    <xf numFmtId="0" fontId="14" fillId="0" borderId="0" xfId="0" applyFont="1" applyAlignment="1">
      <alignment readingOrder="2"/>
    </xf>
    <xf numFmtId="0" fontId="18" fillId="0" borderId="7" xfId="0" applyFont="1" applyBorder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readingOrder="2"/>
      <protection locked="0"/>
    </xf>
    <xf numFmtId="0" fontId="0" fillId="0" borderId="0" xfId="0" applyAlignment="1">
      <alignment horizontal="center" vertical="center" readingOrder="2"/>
    </xf>
    <xf numFmtId="0" fontId="0" fillId="0" borderId="0" xfId="0" applyAlignment="1" applyProtection="1">
      <alignment vertical="center" shrinkToFit="1" readingOrder="2"/>
      <protection locked="0"/>
    </xf>
    <xf numFmtId="0" fontId="0" fillId="0" borderId="36" xfId="0" applyBorder="1" applyAlignment="1" applyProtection="1">
      <alignment horizontal="center" vertical="center" shrinkToFit="1" readingOrder="2"/>
      <protection locked="0"/>
    </xf>
    <xf numFmtId="0" fontId="16" fillId="0" borderId="36" xfId="0" applyFont="1" applyBorder="1" applyAlignment="1" applyProtection="1">
      <alignment horizontal="center" vertical="center" shrinkToFit="1" readingOrder="2"/>
      <protection locked="0"/>
    </xf>
    <xf numFmtId="0" fontId="0" fillId="0" borderId="40" xfId="0" applyBorder="1" applyAlignment="1" applyProtection="1">
      <alignment horizontal="center" vertical="center" shrinkToFit="1" readingOrder="2"/>
      <protection locked="0"/>
    </xf>
    <xf numFmtId="0" fontId="0" fillId="0" borderId="43" xfId="0" applyBorder="1" applyAlignment="1" applyProtection="1">
      <alignment horizontal="center" vertical="center" readingOrder="2"/>
      <protection locked="0"/>
    </xf>
    <xf numFmtId="0" fontId="0" fillId="0" borderId="23" xfId="0" applyBorder="1" applyAlignment="1">
      <alignment horizontal="center" vertical="center" readingOrder="2"/>
    </xf>
    <xf numFmtId="0" fontId="20" fillId="2" borderId="26" xfId="0" applyFont="1" applyFill="1" applyBorder="1" applyAlignment="1">
      <alignment horizontal="center" vertical="center" readingOrder="2"/>
    </xf>
    <xf numFmtId="0" fontId="31" fillId="0" borderId="0" xfId="0" applyFont="1" applyAlignment="1" applyProtection="1">
      <alignment horizontal="center" vertical="center" readingOrder="2"/>
      <protection locked="0"/>
    </xf>
    <xf numFmtId="0" fontId="32" fillId="0" borderId="0" xfId="0" applyFont="1" applyAlignment="1" applyProtection="1">
      <alignment horizontal="center" vertical="center" readingOrder="2"/>
      <protection locked="0"/>
    </xf>
    <xf numFmtId="0" fontId="31" fillId="0" borderId="5" xfId="0" applyFont="1" applyBorder="1" applyAlignment="1" applyProtection="1">
      <alignment horizontal="center" vertical="center" readingOrder="2"/>
      <protection locked="0"/>
    </xf>
    <xf numFmtId="0" fontId="31" fillId="0" borderId="5" xfId="0" applyFont="1" applyBorder="1" applyAlignment="1" applyProtection="1">
      <alignment horizontal="center" vertical="center" shrinkToFit="1" readingOrder="2"/>
      <protection locked="0"/>
    </xf>
    <xf numFmtId="0" fontId="31" fillId="0" borderId="26" xfId="0" applyFont="1" applyBorder="1" applyAlignment="1" applyProtection="1">
      <alignment horizontal="center" vertical="center" shrinkToFit="1" readingOrder="2"/>
      <protection locked="0"/>
    </xf>
    <xf numFmtId="0" fontId="33" fillId="0" borderId="5" xfId="0" applyFont="1" applyBorder="1" applyAlignment="1" applyProtection="1">
      <alignment horizontal="center" vertical="center" shrinkToFit="1" readingOrder="2"/>
      <protection locked="0"/>
    </xf>
    <xf numFmtId="0" fontId="33" fillId="0" borderId="39" xfId="0" applyFont="1" applyBorder="1" applyAlignment="1" applyProtection="1">
      <alignment horizontal="center" vertical="center" shrinkToFit="1" readingOrder="2"/>
      <protection locked="0"/>
    </xf>
    <xf numFmtId="0" fontId="32" fillId="0" borderId="5" xfId="0" applyFont="1" applyBorder="1" applyAlignment="1" applyProtection="1">
      <alignment horizontal="center" vertical="center" shrinkToFit="1" readingOrder="2"/>
      <protection locked="0"/>
    </xf>
    <xf numFmtId="0" fontId="32" fillId="0" borderId="3" xfId="0" applyFont="1" applyBorder="1" applyAlignment="1" applyProtection="1">
      <alignment horizontal="center" vertical="center" shrinkToFit="1" readingOrder="2"/>
      <protection locked="0"/>
    </xf>
    <xf numFmtId="0" fontId="27" fillId="0" borderId="8" xfId="0" applyFont="1" applyBorder="1" applyAlignment="1" applyProtection="1">
      <alignment horizontal="center" vertical="center" shrinkToFit="1" readingOrder="2"/>
      <protection locked="0"/>
    </xf>
    <xf numFmtId="0" fontId="27" fillId="0" borderId="7" xfId="0" applyFont="1" applyBorder="1" applyAlignment="1" applyProtection="1">
      <alignment horizontal="center" vertical="center" readingOrder="2"/>
      <protection locked="0"/>
    </xf>
    <xf numFmtId="0" fontId="27" fillId="0" borderId="8" xfId="0" applyFont="1" applyBorder="1" applyAlignment="1" applyProtection="1">
      <alignment horizontal="center" vertical="center" readingOrder="2"/>
      <protection locked="0"/>
    </xf>
    <xf numFmtId="0" fontId="27" fillId="3" borderId="6" xfId="0" applyFont="1" applyFill="1" applyBorder="1" applyAlignment="1" applyProtection="1">
      <alignment horizontal="center" vertical="center" readingOrder="2"/>
      <protection locked="0"/>
    </xf>
    <xf numFmtId="0" fontId="38" fillId="4" borderId="6" xfId="0" applyFont="1" applyFill="1" applyBorder="1" applyAlignment="1" applyProtection="1">
      <alignment horizontal="center" vertical="center" readingOrder="2"/>
      <protection locked="0"/>
    </xf>
    <xf numFmtId="0" fontId="38" fillId="0" borderId="7" xfId="0" applyFont="1" applyBorder="1" applyAlignment="1" applyProtection="1">
      <alignment horizontal="center" vertical="center" readingOrder="2"/>
      <protection locked="0"/>
    </xf>
    <xf numFmtId="0" fontId="27" fillId="3" borderId="6" xfId="0" applyFont="1" applyFill="1" applyBorder="1" applyAlignment="1" applyProtection="1">
      <alignment horizontal="center" vertical="center" shrinkToFit="1" readingOrder="2"/>
      <protection locked="0"/>
    </xf>
    <xf numFmtId="0" fontId="27" fillId="3" borderId="10" xfId="0" applyFont="1" applyFill="1" applyBorder="1" applyAlignment="1" applyProtection="1">
      <alignment horizontal="center" vertical="center" shrinkToFit="1" readingOrder="2"/>
      <protection locked="0"/>
    </xf>
    <xf numFmtId="0" fontId="18" fillId="0" borderId="32" xfId="0" applyFont="1" applyBorder="1" applyAlignment="1" applyProtection="1">
      <alignment horizontal="center" vertical="center" readingOrder="2"/>
      <protection locked="0"/>
    </xf>
    <xf numFmtId="0" fontId="18" fillId="0" borderId="23" xfId="0" applyFont="1" applyBorder="1" applyAlignment="1" applyProtection="1">
      <alignment horizontal="center" vertical="center" readingOrder="2"/>
      <protection locked="0"/>
    </xf>
    <xf numFmtId="0" fontId="18" fillId="0" borderId="43" xfId="0" applyFont="1" applyBorder="1" applyAlignment="1" applyProtection="1">
      <alignment horizontal="center" vertical="center" readingOrder="2"/>
      <protection locked="0"/>
    </xf>
    <xf numFmtId="0" fontId="34" fillId="0" borderId="0" xfId="0" applyFont="1" applyAlignment="1" applyProtection="1">
      <alignment horizontal="center" vertical="center" readingOrder="2"/>
      <protection locked="0"/>
    </xf>
    <xf numFmtId="0" fontId="3" fillId="0" borderId="13" xfId="0" applyFont="1" applyBorder="1" applyAlignment="1">
      <alignment horizontal="center" vertical="center" readingOrder="2"/>
    </xf>
    <xf numFmtId="0" fontId="3" fillId="0" borderId="18" xfId="0" applyFont="1" applyBorder="1" applyAlignment="1">
      <alignment horizontal="center" vertical="center" readingOrder="2"/>
    </xf>
    <xf numFmtId="0" fontId="0" fillId="0" borderId="76" xfId="0" applyBorder="1" applyAlignment="1">
      <alignment horizontal="center" vertical="center" readingOrder="2"/>
    </xf>
    <xf numFmtId="0" fontId="0" fillId="0" borderId="36" xfId="0" applyBorder="1"/>
    <xf numFmtId="0" fontId="0" fillId="0" borderId="53" xfId="0" applyBorder="1"/>
    <xf numFmtId="0" fontId="0" fillId="0" borderId="15" xfId="0" applyBorder="1" applyAlignment="1">
      <alignment horizontal="center" vertical="center" readingOrder="2"/>
    </xf>
    <xf numFmtId="0" fontId="2" fillId="2" borderId="46" xfId="0" applyFont="1" applyFill="1" applyBorder="1" applyAlignment="1">
      <alignment horizontal="center" vertical="center" readingOrder="2"/>
    </xf>
    <xf numFmtId="0" fontId="14" fillId="0" borderId="0" xfId="0" applyFont="1"/>
    <xf numFmtId="0" fontId="18" fillId="0" borderId="8" xfId="0" applyFont="1" applyBorder="1" applyAlignment="1" applyProtection="1">
      <alignment horizontal="center" vertical="center" readingOrder="2"/>
      <protection locked="0"/>
    </xf>
    <xf numFmtId="0" fontId="18" fillId="0" borderId="0" xfId="0" applyFont="1" applyAlignment="1" applyProtection="1">
      <alignment horizontal="right" vertical="center" readingOrder="2"/>
      <protection locked="0"/>
    </xf>
    <xf numFmtId="0" fontId="18" fillId="0" borderId="13" xfId="0" applyFont="1" applyBorder="1" applyAlignment="1" applyProtection="1">
      <alignment horizontal="center" vertical="center" readingOrder="2"/>
      <protection locked="0"/>
    </xf>
    <xf numFmtId="0" fontId="0" fillId="0" borderId="36" xfId="0" applyBorder="1" applyAlignment="1" applyProtection="1">
      <alignment horizontal="center" vertical="center" readingOrder="2"/>
      <protection locked="0"/>
    </xf>
    <xf numFmtId="0" fontId="0" fillId="0" borderId="0" xfId="0" applyAlignment="1">
      <alignment horizontal="center"/>
    </xf>
    <xf numFmtId="0" fontId="21" fillId="0" borderId="0" xfId="0" applyFont="1" applyAlignment="1" applyProtection="1">
      <alignment vertical="center" readingOrder="2"/>
      <protection locked="0"/>
    </xf>
    <xf numFmtId="0" fontId="18" fillId="0" borderId="37" xfId="0" applyFont="1" applyBorder="1" applyAlignment="1" applyProtection="1">
      <alignment horizontal="center" vertical="center" readingOrder="2"/>
      <protection locked="0"/>
    </xf>
    <xf numFmtId="0" fontId="18" fillId="0" borderId="76" xfId="0" applyFont="1" applyBorder="1" applyAlignment="1" applyProtection="1">
      <alignment horizontal="center" vertical="center" readingOrder="2"/>
      <protection locked="0"/>
    </xf>
    <xf numFmtId="0" fontId="18" fillId="0" borderId="38" xfId="0" applyFont="1" applyBorder="1" applyAlignment="1" applyProtection="1">
      <alignment horizontal="center" vertical="center" readingOrder="2"/>
      <protection locked="0"/>
    </xf>
    <xf numFmtId="0" fontId="18" fillId="0" borderId="84" xfId="0" applyFont="1" applyBorder="1" applyAlignment="1" applyProtection="1">
      <alignment horizontal="center" vertical="center" readingOrder="2"/>
      <protection locked="0"/>
    </xf>
    <xf numFmtId="0" fontId="18" fillId="0" borderId="85" xfId="0" applyFont="1" applyBorder="1" applyAlignment="1" applyProtection="1">
      <alignment horizontal="center" vertical="center" readingOrder="2"/>
      <protection locked="0"/>
    </xf>
    <xf numFmtId="0" fontId="18" fillId="0" borderId="86" xfId="0" applyFont="1" applyBorder="1" applyAlignment="1" applyProtection="1">
      <alignment horizontal="center" vertical="center" readingOrder="2"/>
      <protection locked="0"/>
    </xf>
    <xf numFmtId="0" fontId="24" fillId="2" borderId="36" xfId="0" applyFont="1" applyFill="1" applyBorder="1" applyAlignment="1">
      <alignment horizontal="center" vertical="center" wrapText="1" readingOrder="2"/>
    </xf>
    <xf numFmtId="0" fontId="12" fillId="0" borderId="5" xfId="0" applyFont="1" applyBorder="1" applyAlignment="1">
      <alignment horizontal="center" vertical="center" wrapText="1" readingOrder="2"/>
    </xf>
    <xf numFmtId="0" fontId="12" fillId="0" borderId="60" xfId="0" applyFont="1" applyBorder="1" applyAlignment="1">
      <alignment horizontal="center" vertical="center" wrapText="1" readingOrder="2"/>
    </xf>
    <xf numFmtId="0" fontId="20" fillId="0" borderId="3" xfId="0" applyFont="1" applyBorder="1" applyAlignment="1">
      <alignment horizontal="center" vertical="center" shrinkToFit="1" readingOrder="2"/>
    </xf>
    <xf numFmtId="0" fontId="20" fillId="0" borderId="4" xfId="0" applyFont="1" applyBorder="1" applyAlignment="1">
      <alignment horizontal="center" vertical="center" shrinkToFit="1" readingOrder="2"/>
    </xf>
    <xf numFmtId="0" fontId="20" fillId="0" borderId="64" xfId="0" applyFont="1" applyBorder="1" applyAlignment="1">
      <alignment horizontal="center" vertical="center" shrinkToFit="1" readingOrder="2"/>
    </xf>
    <xf numFmtId="0" fontId="26" fillId="4" borderId="36" xfId="0" applyFont="1" applyFill="1" applyBorder="1" applyAlignment="1">
      <alignment horizontal="center" vertical="center" wrapText="1" readingOrder="2"/>
    </xf>
    <xf numFmtId="0" fontId="16" fillId="0" borderId="0" xfId="0" applyFont="1" applyAlignment="1">
      <alignment horizontal="center" readingOrder="2"/>
    </xf>
    <xf numFmtId="0" fontId="29" fillId="2" borderId="0" xfId="0" applyFont="1" applyFill="1" applyAlignment="1">
      <alignment horizontal="center" vertical="center" readingOrder="2"/>
    </xf>
    <xf numFmtId="0" fontId="21" fillId="4" borderId="0" xfId="0" applyFont="1" applyFill="1" applyAlignment="1">
      <alignment horizontal="center" vertical="center" readingOrder="2"/>
    </xf>
    <xf numFmtId="0" fontId="20" fillId="0" borderId="5" xfId="0" applyFont="1" applyBorder="1" applyAlignment="1">
      <alignment horizontal="center" vertical="center" shrinkToFit="1" readingOrder="2"/>
    </xf>
    <xf numFmtId="0" fontId="34" fillId="0" borderId="35" xfId="0" applyFont="1" applyBorder="1" applyAlignment="1">
      <alignment horizontal="center" vertical="center" readingOrder="2"/>
    </xf>
    <xf numFmtId="0" fontId="0" fillId="2" borderId="17" xfId="0" applyFill="1" applyBorder="1" applyAlignment="1">
      <alignment horizontal="center" vertical="center" readingOrder="2"/>
    </xf>
    <xf numFmtId="0" fontId="0" fillId="2" borderId="6" xfId="0" applyFill="1" applyBorder="1" applyAlignment="1">
      <alignment horizontal="center" vertical="center" readingOrder="2"/>
    </xf>
    <xf numFmtId="0" fontId="0" fillId="2" borderId="19" xfId="0" applyFill="1" applyBorder="1" applyAlignment="1">
      <alignment horizontal="center" vertical="center" readingOrder="2"/>
    </xf>
    <xf numFmtId="0" fontId="16" fillId="2" borderId="13" xfId="0" applyFont="1" applyFill="1" applyBorder="1" applyAlignment="1">
      <alignment horizontal="center" vertical="center" readingOrder="2"/>
    </xf>
    <xf numFmtId="0" fontId="0" fillId="2" borderId="8" xfId="0" applyFill="1" applyBorder="1" applyAlignment="1">
      <alignment horizontal="center" vertical="center" readingOrder="2"/>
    </xf>
    <xf numFmtId="0" fontId="0" fillId="2" borderId="13" xfId="0" applyFill="1" applyBorder="1" applyAlignment="1">
      <alignment horizontal="center" vertical="center" readingOrder="2"/>
    </xf>
    <xf numFmtId="0" fontId="0" fillId="2" borderId="7" xfId="0" applyFill="1" applyBorder="1" applyAlignment="1">
      <alignment horizontal="center" vertical="center" readingOrder="2"/>
    </xf>
    <xf numFmtId="0" fontId="0" fillId="2" borderId="0" xfId="0" applyFill="1" applyAlignment="1">
      <alignment horizontal="center" vertical="center" readingOrder="2"/>
    </xf>
    <xf numFmtId="0" fontId="0" fillId="2" borderId="20" xfId="0" applyFill="1" applyBorder="1" applyAlignment="1">
      <alignment horizontal="center" vertical="center" readingOrder="2"/>
    </xf>
    <xf numFmtId="0" fontId="0" fillId="2" borderId="18" xfId="0" applyFill="1" applyBorder="1" applyAlignment="1">
      <alignment horizontal="center" vertical="center" readingOrder="2"/>
    </xf>
    <xf numFmtId="0" fontId="0" fillId="2" borderId="21" xfId="0" applyFill="1" applyBorder="1" applyAlignment="1">
      <alignment horizontal="center" vertical="center" readingOrder="2"/>
    </xf>
    <xf numFmtId="0" fontId="16" fillId="0" borderId="0" xfId="0" applyFont="1" applyAlignment="1">
      <alignment horizontal="center" vertical="center" wrapText="1" readingOrder="2"/>
    </xf>
    <xf numFmtId="0" fontId="16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 readingOrder="2"/>
    </xf>
    <xf numFmtId="0" fontId="39" fillId="2" borderId="5" xfId="0" applyFont="1" applyFill="1" applyBorder="1" applyAlignment="1">
      <alignment horizontal="center" vertical="center" readingOrder="2"/>
    </xf>
    <xf numFmtId="0" fontId="17" fillId="0" borderId="0" xfId="0" applyFont="1" applyAlignment="1">
      <alignment horizontal="center" vertical="center" readingOrder="2"/>
    </xf>
    <xf numFmtId="0" fontId="18" fillId="0" borderId="0" xfId="0" applyFont="1" applyAlignment="1">
      <alignment horizontal="center" vertical="center" readingOrder="2"/>
    </xf>
    <xf numFmtId="0" fontId="22" fillId="0" borderId="22" xfId="0" applyFont="1" applyBorder="1" applyAlignment="1">
      <alignment horizontal="center" vertical="center" readingOrder="2"/>
    </xf>
    <xf numFmtId="0" fontId="22" fillId="0" borderId="1" xfId="0" applyFont="1" applyBorder="1" applyAlignment="1">
      <alignment horizontal="center" vertical="center" readingOrder="2"/>
    </xf>
    <xf numFmtId="0" fontId="22" fillId="0" borderId="2" xfId="0" applyFont="1" applyBorder="1" applyAlignment="1">
      <alignment horizontal="center" vertical="center" readingOrder="2"/>
    </xf>
    <xf numFmtId="0" fontId="22" fillId="0" borderId="35" xfId="0" applyFont="1" applyBorder="1" applyAlignment="1">
      <alignment horizontal="center" vertical="center" readingOrder="2"/>
    </xf>
    <xf numFmtId="0" fontId="0" fillId="0" borderId="0" xfId="0" applyAlignment="1">
      <alignment horizontal="center" vertical="center" shrinkToFit="1" readingOrder="2"/>
    </xf>
    <xf numFmtId="0" fontId="20" fillId="2" borderId="49" xfId="0" applyFont="1" applyFill="1" applyBorder="1" applyAlignment="1">
      <alignment horizontal="center" vertical="center" readingOrder="2"/>
    </xf>
    <xf numFmtId="0" fontId="21" fillId="2" borderId="5" xfId="0" applyFont="1" applyFill="1" applyBorder="1" applyAlignment="1">
      <alignment horizontal="center" vertical="center" shrinkToFit="1" readingOrder="2"/>
    </xf>
    <xf numFmtId="0" fontId="50" fillId="0" borderId="11" xfId="0" applyFont="1" applyBorder="1" applyAlignment="1" applyProtection="1">
      <alignment horizontal="center" vertical="center" shrinkToFit="1" readingOrder="2"/>
      <protection locked="0"/>
    </xf>
    <xf numFmtId="0" fontId="44" fillId="2" borderId="5" xfId="0" applyFont="1" applyFill="1" applyBorder="1" applyAlignment="1">
      <alignment horizontal="center" vertical="center" readingOrder="2"/>
    </xf>
    <xf numFmtId="0" fontId="14" fillId="6" borderId="0" xfId="0" applyFont="1" applyFill="1" applyAlignment="1" applyProtection="1">
      <alignment horizontal="center" vertical="center" readingOrder="2"/>
      <protection locked="0"/>
    </xf>
    <xf numFmtId="0" fontId="10" fillId="0" borderId="0" xfId="0" applyFont="1" applyAlignment="1" applyProtection="1">
      <alignment vertical="center" wrapText="1" readingOrder="2"/>
      <protection locked="0"/>
    </xf>
    <xf numFmtId="0" fontId="49" fillId="0" borderId="0" xfId="0" applyFont="1" applyAlignment="1" applyProtection="1">
      <alignment vertical="center" wrapText="1" readingOrder="2"/>
      <protection locked="0"/>
    </xf>
    <xf numFmtId="0" fontId="20" fillId="0" borderId="0" xfId="0" applyFont="1" applyAlignment="1">
      <alignment vertical="center" wrapText="1" readingOrder="2"/>
    </xf>
    <xf numFmtId="0" fontId="9" fillId="0" borderId="0" xfId="0" applyFont="1" applyAlignment="1" applyProtection="1">
      <alignment vertical="center" wrapText="1" readingOrder="2"/>
      <protection locked="0"/>
    </xf>
    <xf numFmtId="0" fontId="2" fillId="0" borderId="0" xfId="0" applyFont="1" applyAlignment="1" applyProtection="1">
      <alignment vertical="center" wrapText="1" readingOrder="2"/>
      <protection locked="0"/>
    </xf>
    <xf numFmtId="0" fontId="4" fillId="0" borderId="0" xfId="0" applyFont="1" applyAlignment="1" applyProtection="1">
      <alignment vertical="center" wrapText="1" readingOrder="2"/>
      <protection locked="0"/>
    </xf>
    <xf numFmtId="0" fontId="8" fillId="0" borderId="0" xfId="0" applyFont="1" applyAlignment="1" applyProtection="1">
      <alignment vertical="center" wrapText="1" readingOrder="2"/>
      <protection locked="0"/>
    </xf>
    <xf numFmtId="0" fontId="18" fillId="0" borderId="0" xfId="0" applyFont="1" applyAlignment="1" applyProtection="1">
      <alignment vertical="center" wrapText="1" readingOrder="2"/>
      <protection locked="0"/>
    </xf>
    <xf numFmtId="49" fontId="27" fillId="0" borderId="7" xfId="0" applyNumberFormat="1" applyFont="1" applyBorder="1" applyAlignment="1" applyProtection="1">
      <alignment horizontal="center" vertical="center" readingOrder="2"/>
      <protection locked="0"/>
    </xf>
    <xf numFmtId="49" fontId="4" fillId="0" borderId="7" xfId="0" applyNumberFormat="1" applyFont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27" fillId="0" borderId="7" xfId="0" applyNumberFormat="1" applyFont="1" applyBorder="1" applyAlignment="1" applyProtection="1">
      <alignment horizontal="center" vertical="center" shrinkToFit="1" readingOrder="2"/>
      <protection locked="0"/>
    </xf>
    <xf numFmtId="49" fontId="16" fillId="0" borderId="0" xfId="0" applyNumberFormat="1" applyFont="1" applyAlignment="1">
      <alignment horizontal="center" readingOrder="2"/>
    </xf>
    <xf numFmtId="49" fontId="0" fillId="0" borderId="0" xfId="0" applyNumberFormat="1" applyAlignment="1" applyProtection="1">
      <alignment readingOrder="2"/>
      <protection locked="0"/>
    </xf>
    <xf numFmtId="49" fontId="9" fillId="0" borderId="0" xfId="0" applyNumberFormat="1" applyFont="1" applyAlignment="1" applyProtection="1">
      <alignment horizontal="center" vertical="center" wrapText="1" readingOrder="2"/>
      <protection locked="0"/>
    </xf>
    <xf numFmtId="49" fontId="24" fillId="4" borderId="7" xfId="0" applyNumberFormat="1" applyFont="1" applyFill="1" applyBorder="1" applyAlignment="1">
      <alignment horizontal="center" vertical="center" wrapText="1" readingOrder="2"/>
    </xf>
    <xf numFmtId="49" fontId="18" fillId="4" borderId="7" xfId="0" applyNumberFormat="1" applyFont="1" applyFill="1" applyBorder="1" applyAlignment="1" applyProtection="1">
      <alignment horizontal="center" vertical="center" shrinkToFit="1" readingOrder="2"/>
      <protection locked="0"/>
    </xf>
    <xf numFmtId="49" fontId="38" fillId="0" borderId="7" xfId="0" applyNumberFormat="1" applyFont="1" applyBorder="1" applyAlignment="1" applyProtection="1">
      <alignment horizontal="center" vertical="center" readingOrder="2"/>
      <protection locked="0"/>
    </xf>
    <xf numFmtId="49" fontId="9" fillId="0" borderId="7" xfId="0" applyNumberFormat="1" applyFont="1" applyBorder="1" applyAlignment="1" applyProtection="1">
      <alignment horizontal="center" vertical="center" wrapText="1" readingOrder="2"/>
      <protection locked="0"/>
    </xf>
    <xf numFmtId="0" fontId="40" fillId="0" borderId="0" xfId="0" applyFont="1"/>
    <xf numFmtId="0" fontId="0" fillId="7" borderId="0" xfId="0" applyFill="1" applyAlignment="1" applyProtection="1">
      <alignment horizontal="center" vertical="center" readingOrder="2"/>
      <protection locked="0"/>
    </xf>
    <xf numFmtId="0" fontId="0" fillId="0" borderId="15" xfId="0" applyBorder="1" applyAlignment="1">
      <alignment vertical="center" readingOrder="2"/>
    </xf>
    <xf numFmtId="0" fontId="19" fillId="0" borderId="32" xfId="0" applyFont="1" applyBorder="1" applyAlignment="1">
      <alignment horizontal="center" vertical="center" readingOrder="2"/>
    </xf>
    <xf numFmtId="0" fontId="0" fillId="2" borderId="23" xfId="0" applyFill="1" applyBorder="1" applyAlignment="1">
      <alignment horizontal="center" vertical="center" readingOrder="2"/>
    </xf>
    <xf numFmtId="0" fontId="16" fillId="0" borderId="23" xfId="0" applyFont="1" applyBorder="1" applyAlignment="1">
      <alignment horizontal="center" vertical="center" readingOrder="2"/>
    </xf>
    <xf numFmtId="0" fontId="0" fillId="2" borderId="43" xfId="0" applyFill="1" applyBorder="1" applyAlignment="1">
      <alignment horizontal="center" vertical="center" readingOrder="2"/>
    </xf>
    <xf numFmtId="0" fontId="18" fillId="0" borderId="87" xfId="0" applyFont="1" applyBorder="1" applyAlignment="1" applyProtection="1">
      <alignment horizontal="center" vertical="center" readingOrder="2"/>
      <protection locked="0"/>
    </xf>
    <xf numFmtId="0" fontId="18" fillId="0" borderId="88" xfId="0" applyFont="1" applyBorder="1" applyAlignment="1" applyProtection="1">
      <alignment horizontal="center" vertical="center" readingOrder="2"/>
      <protection locked="0"/>
    </xf>
    <xf numFmtId="0" fontId="18" fillId="0" borderId="71" xfId="0" applyFont="1" applyBorder="1" applyAlignment="1" applyProtection="1">
      <alignment horizontal="center" vertical="center" readingOrder="2"/>
      <protection locked="0"/>
    </xf>
    <xf numFmtId="0" fontId="57" fillId="0" borderId="12" xfId="0" applyFont="1" applyBorder="1" applyAlignment="1">
      <alignment horizontal="center" vertical="center" readingOrder="2"/>
    </xf>
    <xf numFmtId="0" fontId="1" fillId="0" borderId="23" xfId="0" applyFont="1" applyBorder="1" applyAlignment="1">
      <alignment horizontal="center" vertical="center" readingOrder="2"/>
    </xf>
    <xf numFmtId="0" fontId="14" fillId="2" borderId="35" xfId="0" applyFont="1" applyFill="1" applyBorder="1" applyAlignment="1">
      <alignment horizontal="center" vertical="center" readingOrder="2"/>
    </xf>
    <xf numFmtId="0" fontId="14" fillId="2" borderId="5" xfId="0" applyFont="1" applyFill="1" applyBorder="1" applyAlignment="1">
      <alignment horizontal="center" vertical="center" readingOrder="2"/>
    </xf>
    <xf numFmtId="0" fontId="20" fillId="2" borderId="5" xfId="0" applyFont="1" applyFill="1" applyBorder="1" applyAlignment="1">
      <alignment horizontal="center" vertical="center" readingOrder="2"/>
    </xf>
    <xf numFmtId="0" fontId="44" fillId="0" borderId="0" xfId="0" applyFont="1"/>
    <xf numFmtId="0" fontId="20" fillId="4" borderId="78" xfId="0" applyFont="1" applyFill="1" applyBorder="1" applyAlignment="1" applyProtection="1">
      <alignment horizontal="center" vertical="center" readingOrder="2"/>
      <protection locked="0"/>
    </xf>
    <xf numFmtId="0" fontId="20" fillId="4" borderId="80" xfId="0" applyFont="1" applyFill="1" applyBorder="1" applyAlignment="1" applyProtection="1">
      <alignment horizontal="center" vertical="center" readingOrder="2"/>
      <protection locked="0"/>
    </xf>
    <xf numFmtId="0" fontId="20" fillId="4" borderId="79" xfId="0" applyFont="1" applyFill="1" applyBorder="1" applyAlignment="1" applyProtection="1">
      <alignment horizontal="center" vertical="center" readingOrder="2"/>
      <protection locked="0"/>
    </xf>
    <xf numFmtId="0" fontId="20" fillId="4" borderId="81" xfId="0" applyFont="1" applyFill="1" applyBorder="1" applyAlignment="1" applyProtection="1">
      <alignment horizontal="center" vertical="center" readingOrder="2"/>
      <protection locked="0"/>
    </xf>
    <xf numFmtId="0" fontId="20" fillId="4" borderId="82" xfId="0" applyFont="1" applyFill="1" applyBorder="1" applyAlignment="1" applyProtection="1">
      <alignment horizontal="center" vertical="center" readingOrder="2"/>
      <protection locked="0"/>
    </xf>
    <xf numFmtId="0" fontId="20" fillId="4" borderId="83" xfId="0" applyFont="1" applyFill="1" applyBorder="1" applyAlignment="1" applyProtection="1">
      <alignment horizontal="center" vertical="center" readingOrder="2"/>
      <protection locked="0"/>
    </xf>
    <xf numFmtId="0" fontId="20" fillId="4" borderId="9" xfId="0" applyFont="1" applyFill="1" applyBorder="1" applyAlignment="1" applyProtection="1">
      <alignment horizontal="center" vertical="center" readingOrder="2"/>
      <protection locked="0"/>
    </xf>
    <xf numFmtId="0" fontId="20" fillId="4" borderId="11" xfId="0" applyFont="1" applyFill="1" applyBorder="1" applyAlignment="1" applyProtection="1">
      <alignment horizontal="center" vertical="center" readingOrder="2"/>
      <protection locked="0"/>
    </xf>
    <xf numFmtId="0" fontId="20" fillId="4" borderId="59" xfId="0" applyFont="1" applyFill="1" applyBorder="1" applyAlignment="1" applyProtection="1">
      <alignment horizontal="center" vertical="center" readingOrder="2"/>
      <protection locked="0"/>
    </xf>
    <xf numFmtId="0" fontId="0" fillId="0" borderId="8" xfId="0" applyBorder="1" applyAlignment="1">
      <alignment vertical="center" readingOrder="2"/>
    </xf>
    <xf numFmtId="0" fontId="0" fillId="0" borderId="16" xfId="0" applyBorder="1" applyAlignment="1">
      <alignment vertical="center" readingOrder="2"/>
    </xf>
    <xf numFmtId="0" fontId="14" fillId="0" borderId="5" xfId="0" applyFont="1" applyBorder="1" applyAlignment="1">
      <alignment horizontal="center" vertical="center" wrapText="1" readingOrder="2"/>
    </xf>
    <xf numFmtId="0" fontId="44" fillId="0" borderId="5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center" vertical="center" readingOrder="2"/>
    </xf>
    <xf numFmtId="0" fontId="34" fillId="0" borderId="2" xfId="0" applyFont="1" applyBorder="1" applyAlignment="1">
      <alignment horizontal="center" vertical="center" readingOrder="2"/>
    </xf>
    <xf numFmtId="0" fontId="28" fillId="2" borderId="5" xfId="0" applyFont="1" applyFill="1" applyBorder="1" applyAlignment="1">
      <alignment horizontal="center" vertical="center" readingOrder="2"/>
    </xf>
    <xf numFmtId="0" fontId="18" fillId="2" borderId="5" xfId="0" applyFont="1" applyFill="1" applyBorder="1" applyAlignment="1">
      <alignment horizontal="center" vertical="center" readingOrder="2"/>
    </xf>
    <xf numFmtId="0" fontId="14" fillId="2" borderId="44" xfId="0" applyFont="1" applyFill="1" applyBorder="1" applyAlignment="1">
      <alignment horizontal="center" vertical="center" readingOrder="2"/>
    </xf>
    <xf numFmtId="0" fontId="0" fillId="0" borderId="33" xfId="0" applyBorder="1" applyAlignment="1">
      <alignment horizontal="center" vertical="center" readingOrder="2"/>
    </xf>
    <xf numFmtId="0" fontId="45" fillId="0" borderId="33" xfId="0" applyFont="1" applyBorder="1" applyAlignment="1">
      <alignment horizontal="center" vertical="center" readingOrder="2"/>
    </xf>
    <xf numFmtId="0" fontId="45" fillId="0" borderId="9" xfId="0" applyFont="1" applyBorder="1" applyAlignment="1">
      <alignment horizontal="center" vertical="center" readingOrder="2"/>
    </xf>
    <xf numFmtId="0" fontId="0" fillId="2" borderId="23" xfId="0" applyFill="1" applyBorder="1" applyAlignment="1">
      <alignment horizontal="center" vertical="center" shrinkToFit="1" readingOrder="2"/>
    </xf>
    <xf numFmtId="0" fontId="0" fillId="0" borderId="55" xfId="0" applyBorder="1" applyAlignment="1">
      <alignment horizontal="center" vertical="center" readingOrder="2"/>
    </xf>
    <xf numFmtId="49" fontId="9" fillId="0" borderId="0" xfId="0" applyNumberFormat="1" applyFont="1" applyAlignment="1">
      <alignment horizontal="center" vertical="center" wrapText="1" readingOrder="2"/>
    </xf>
    <xf numFmtId="0" fontId="23" fillId="2" borderId="36" xfId="0" applyFont="1" applyFill="1" applyBorder="1" applyAlignment="1">
      <alignment horizontal="center" vertical="center" wrapText="1" readingOrder="2"/>
    </xf>
    <xf numFmtId="0" fontId="5" fillId="0" borderId="36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 readingOrder="2"/>
    </xf>
    <xf numFmtId="49" fontId="5" fillId="0" borderId="36" xfId="0" applyNumberFormat="1" applyFont="1" applyBorder="1" applyAlignment="1">
      <alignment horizontal="center" vertical="center" wrapText="1" readingOrder="2"/>
    </xf>
    <xf numFmtId="49" fontId="20" fillId="0" borderId="64" xfId="0" applyNumberFormat="1" applyFont="1" applyBorder="1" applyAlignment="1">
      <alignment horizontal="center" vertical="center" shrinkToFit="1" readingOrder="2"/>
    </xf>
    <xf numFmtId="0" fontId="4" fillId="0" borderId="7" xfId="0" applyFont="1" applyBorder="1" applyAlignment="1">
      <alignment horizontal="center" vertical="center" wrapText="1" readingOrder="2"/>
    </xf>
    <xf numFmtId="0" fontId="27" fillId="3" borderId="6" xfId="0" applyFont="1" applyFill="1" applyBorder="1" applyAlignment="1">
      <alignment horizontal="center" vertical="center" shrinkToFit="1" readingOrder="2"/>
    </xf>
    <xf numFmtId="49" fontId="9" fillId="0" borderId="7" xfId="0" applyNumberFormat="1" applyFont="1" applyBorder="1" applyAlignment="1">
      <alignment horizontal="center" vertical="center" wrapText="1" readingOrder="2"/>
    </xf>
    <xf numFmtId="49" fontId="4" fillId="0" borderId="7" xfId="0" applyNumberFormat="1" applyFont="1" applyBorder="1" applyAlignment="1">
      <alignment horizontal="center" vertical="center" wrapText="1" readingOrder="2"/>
    </xf>
    <xf numFmtId="0" fontId="4" fillId="3" borderId="0" xfId="0" applyFont="1" applyFill="1" applyAlignment="1" applyProtection="1">
      <alignment horizontal="center" vertical="center" wrapText="1" readingOrder="2"/>
      <protection locked="0"/>
    </xf>
    <xf numFmtId="0" fontId="4" fillId="3" borderId="7" xfId="0" applyFont="1" applyFill="1" applyBorder="1" applyAlignment="1" applyProtection="1">
      <alignment horizontal="center" vertical="center" wrapText="1" readingOrder="2"/>
      <protection locked="0"/>
    </xf>
    <xf numFmtId="49" fontId="9" fillId="0" borderId="6" xfId="0" applyNumberFormat="1" applyFont="1" applyBorder="1" applyAlignment="1" applyProtection="1">
      <alignment horizontal="center" vertical="center" wrapText="1" readingOrder="2"/>
      <protection locked="0"/>
    </xf>
    <xf numFmtId="49" fontId="4" fillId="0" borderId="6" xfId="0" applyNumberFormat="1" applyFont="1" applyBorder="1" applyAlignment="1" applyProtection="1">
      <alignment horizontal="center" vertical="center" wrapText="1" readingOrder="2"/>
      <protection locked="0"/>
    </xf>
    <xf numFmtId="0" fontId="35" fillId="0" borderId="0" xfId="0" applyFont="1"/>
    <xf numFmtId="0" fontId="51" fillId="0" borderId="0" xfId="0" applyFont="1"/>
    <xf numFmtId="0" fontId="37" fillId="0" borderId="0" xfId="0" applyFont="1"/>
    <xf numFmtId="0" fontId="58" fillId="0" borderId="0" xfId="0" applyFont="1"/>
    <xf numFmtId="0" fontId="20" fillId="0" borderId="39" xfId="0" applyFont="1" applyBorder="1" applyAlignment="1">
      <alignment horizontal="center" vertical="center" readingOrder="2"/>
    </xf>
    <xf numFmtId="0" fontId="20" fillId="0" borderId="31" xfId="0" applyFont="1" applyBorder="1" applyAlignment="1">
      <alignment horizontal="center" vertical="center" readingOrder="2"/>
    </xf>
    <xf numFmtId="0" fontId="20" fillId="0" borderId="35" xfId="0" applyFont="1" applyBorder="1" applyAlignment="1">
      <alignment horizontal="center" vertical="center" readingOrder="2"/>
    </xf>
    <xf numFmtId="0" fontId="34" fillId="0" borderId="36" xfId="0" applyFont="1" applyBorder="1" applyAlignment="1">
      <alignment horizontal="center" vertical="center" readingOrder="2"/>
    </xf>
    <xf numFmtId="0" fontId="20" fillId="0" borderId="1" xfId="0" applyFont="1" applyBorder="1" applyAlignment="1">
      <alignment horizontal="center" vertical="center" readingOrder="2"/>
    </xf>
    <xf numFmtId="0" fontId="18" fillId="0" borderId="0" xfId="0" applyFont="1" applyAlignment="1" applyProtection="1">
      <alignment vertical="center" readingOrder="2"/>
      <protection locked="0"/>
    </xf>
    <xf numFmtId="0" fontId="18" fillId="0" borderId="0" xfId="0" applyFont="1" applyAlignment="1" applyProtection="1">
      <alignment horizontal="center" vertical="center" readingOrder="2"/>
      <protection locked="0"/>
    </xf>
    <xf numFmtId="0" fontId="28" fillId="0" borderId="38" xfId="0" applyFont="1" applyBorder="1" applyAlignment="1" applyProtection="1">
      <alignment vertical="center" readingOrder="2"/>
      <protection locked="0"/>
    </xf>
    <xf numFmtId="0" fontId="20" fillId="0" borderId="39" xfId="0" applyFont="1" applyBorder="1" applyAlignment="1">
      <alignment vertical="center" readingOrder="2"/>
    </xf>
    <xf numFmtId="0" fontId="20" fillId="0" borderId="0" xfId="0" applyFont="1" applyAlignment="1" applyProtection="1">
      <alignment horizontal="center" vertical="center" readingOrder="2"/>
      <protection locked="0"/>
    </xf>
    <xf numFmtId="0" fontId="27" fillId="3" borderId="7" xfId="0" applyFont="1" applyFill="1" applyBorder="1" applyAlignment="1" applyProtection="1">
      <alignment horizontal="center" vertical="center" shrinkToFit="1" readingOrder="2"/>
      <protection locked="0"/>
    </xf>
    <xf numFmtId="0" fontId="9" fillId="4" borderId="7" xfId="0" applyFont="1" applyFill="1" applyBorder="1" applyAlignment="1" applyProtection="1">
      <alignment horizontal="center" vertical="center" wrapText="1" readingOrder="2"/>
      <protection locked="0"/>
    </xf>
    <xf numFmtId="0" fontId="14" fillId="0" borderId="0" xfId="0" applyFont="1" applyBorder="1" applyAlignment="1">
      <alignment vertical="center" readingOrder="2"/>
    </xf>
    <xf numFmtId="0" fontId="0" fillId="0" borderId="39" xfId="0" applyBorder="1" applyAlignment="1" applyProtection="1">
      <alignment horizontal="center" vertical="center" shrinkToFit="1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54" fillId="0" borderId="0" xfId="0" applyFont="1"/>
    <xf numFmtId="0" fontId="15" fillId="0" borderId="35" xfId="0" applyFont="1" applyBorder="1" applyAlignment="1" applyProtection="1">
      <alignment vertical="center" shrinkToFit="1" readingOrder="1"/>
      <protection locked="0"/>
    </xf>
    <xf numFmtId="0" fontId="0" fillId="0" borderId="35" xfId="0" applyBorder="1" applyAlignment="1" applyProtection="1">
      <alignment vertical="center" shrinkToFit="1" readingOrder="2"/>
      <protection locked="0"/>
    </xf>
    <xf numFmtId="0" fontId="15" fillId="0" borderId="0" xfId="0" applyFont="1" applyBorder="1" applyAlignment="1" applyProtection="1">
      <alignment vertical="center" shrinkToFit="1" readingOrder="1"/>
      <protection locked="0"/>
    </xf>
    <xf numFmtId="0" fontId="0" fillId="0" borderId="0" xfId="0" applyBorder="1" applyAlignment="1" applyProtection="1">
      <alignment vertical="center" shrinkToFit="1" readingOrder="2"/>
      <protection locked="0"/>
    </xf>
    <xf numFmtId="0" fontId="61" fillId="0" borderId="0" xfId="0" applyFont="1" applyAlignment="1">
      <alignment horizontal="right" vertical="center" wrapText="1" indent="1"/>
    </xf>
    <xf numFmtId="0" fontId="19" fillId="0" borderId="13" xfId="0" applyFont="1" applyBorder="1" applyAlignment="1">
      <alignment horizontal="center" vertical="center" readingOrder="2"/>
    </xf>
    <xf numFmtId="0" fontId="31" fillId="0" borderId="0" xfId="0" applyFont="1" applyAlignment="1" applyProtection="1">
      <alignment vertical="center" readingOrder="2"/>
      <protection locked="0"/>
    </xf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4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 applyProtection="1">
      <alignment horizontal="center" vertical="center" wrapText="1" readingOrder="2"/>
      <protection locked="0"/>
    </xf>
    <xf numFmtId="0" fontId="20" fillId="0" borderId="3" xfId="0" applyFont="1" applyBorder="1" applyAlignment="1" applyProtection="1">
      <alignment horizontal="center" vertical="center" shrinkToFit="1" readingOrder="2"/>
      <protection locked="0"/>
    </xf>
    <xf numFmtId="0" fontId="20" fillId="0" borderId="4" xfId="0" applyFont="1" applyBorder="1" applyAlignment="1" applyProtection="1">
      <alignment horizontal="center" vertical="center" shrinkToFit="1" readingOrder="2"/>
      <protection locked="0"/>
    </xf>
    <xf numFmtId="49" fontId="20" fillId="0" borderId="4" xfId="0" applyNumberFormat="1" applyFont="1" applyBorder="1" applyAlignment="1" applyProtection="1">
      <alignment horizontal="center" vertical="center" shrinkToFit="1" readingOrder="2"/>
      <protection locked="0"/>
    </xf>
    <xf numFmtId="49" fontId="20" fillId="0" borderId="64" xfId="0" applyNumberFormat="1" applyFont="1" applyBorder="1" applyAlignment="1" applyProtection="1">
      <alignment horizontal="center" vertical="center" shrinkToFit="1" readingOrder="2"/>
      <protection locked="0"/>
    </xf>
    <xf numFmtId="0" fontId="32" fillId="0" borderId="45" xfId="0" applyFont="1" applyBorder="1" applyAlignment="1" applyProtection="1">
      <alignment horizontal="center" vertical="center" readingOrder="2"/>
      <protection locked="0"/>
    </xf>
    <xf numFmtId="0" fontId="32" fillId="0" borderId="13" xfId="0" applyFont="1" applyBorder="1" applyAlignment="1" applyProtection="1">
      <alignment horizontal="center" vertical="center" readingOrder="2"/>
      <protection locked="0"/>
    </xf>
    <xf numFmtId="0" fontId="32" fillId="0" borderId="7" xfId="0" applyFont="1" applyBorder="1" applyAlignment="1" applyProtection="1">
      <alignment horizontal="center" vertical="center" readingOrder="2"/>
      <protection locked="0"/>
    </xf>
    <xf numFmtId="0" fontId="32" fillId="0" borderId="8" xfId="0" applyFont="1" applyBorder="1" applyAlignment="1" applyProtection="1">
      <alignment horizontal="center" vertical="center" readingOrder="2"/>
      <protection locked="0"/>
    </xf>
    <xf numFmtId="0" fontId="32" fillId="0" borderId="33" xfId="0" applyFont="1" applyBorder="1" applyAlignment="1" applyProtection="1">
      <alignment horizontal="center" vertical="center" readingOrder="2"/>
      <protection locked="0"/>
    </xf>
    <xf numFmtId="0" fontId="32" fillId="0" borderId="41" xfId="0" applyFont="1" applyBorder="1" applyAlignment="1" applyProtection="1">
      <alignment horizontal="center" vertical="center" readingOrder="2"/>
      <protection locked="0"/>
    </xf>
    <xf numFmtId="0" fontId="32" fillId="0" borderId="0" xfId="0" applyFont="1" applyBorder="1" applyAlignment="1" applyProtection="1">
      <alignment vertical="center" readingOrder="2"/>
      <protection locked="0"/>
    </xf>
    <xf numFmtId="0" fontId="32" fillId="0" borderId="0" xfId="0" applyFont="1" applyBorder="1" applyAlignment="1" applyProtection="1">
      <alignment horizontal="center" vertical="center" readingOrder="2"/>
      <protection locked="0"/>
    </xf>
    <xf numFmtId="0" fontId="32" fillId="0" borderId="7" xfId="0" applyFont="1" applyBorder="1" applyAlignment="1" applyProtection="1">
      <alignment vertical="center" readingOrder="2"/>
      <protection locked="0"/>
    </xf>
    <xf numFmtId="0" fontId="32" fillId="0" borderId="46" xfId="0" applyFont="1" applyBorder="1" applyAlignment="1" applyProtection="1">
      <alignment horizontal="center" vertical="center" readingOrder="2"/>
      <protection locked="0"/>
    </xf>
    <xf numFmtId="0" fontId="32" fillId="0" borderId="14" xfId="0" applyFont="1" applyBorder="1" applyAlignment="1" applyProtection="1">
      <alignment horizontal="center" vertical="center" readingOrder="2"/>
      <protection locked="0"/>
    </xf>
    <xf numFmtId="0" fontId="32" fillId="0" borderId="18" xfId="0" applyFont="1" applyBorder="1" applyAlignment="1" applyProtection="1">
      <alignment horizontal="center" vertical="center" readingOrder="2"/>
      <protection locked="0"/>
    </xf>
    <xf numFmtId="0" fontId="32" fillId="0" borderId="16" xfId="0" applyFont="1" applyBorder="1" applyAlignment="1" applyProtection="1">
      <alignment horizontal="center" vertical="center" readingOrder="2"/>
      <protection locked="0"/>
    </xf>
    <xf numFmtId="0" fontId="32" fillId="0" borderId="59" xfId="0" applyFont="1" applyBorder="1" applyAlignment="1" applyProtection="1">
      <alignment horizontal="center" vertical="center" readingOrder="2"/>
      <protection locked="0"/>
    </xf>
    <xf numFmtId="0" fontId="12" fillId="0" borderId="60" xfId="0" applyFont="1" applyBorder="1" applyAlignment="1" applyProtection="1">
      <alignment horizontal="center" vertical="center" wrapText="1" readingOrder="2"/>
      <protection locked="0"/>
    </xf>
    <xf numFmtId="0" fontId="20" fillId="0" borderId="64" xfId="0" applyFont="1" applyBorder="1" applyAlignment="1" applyProtection="1">
      <alignment horizontal="center" vertical="center" shrinkToFit="1" readingOrder="2"/>
      <protection locked="0"/>
    </xf>
    <xf numFmtId="0" fontId="31" fillId="0" borderId="23" xfId="0" applyFont="1" applyBorder="1" applyAlignment="1" applyProtection="1">
      <alignment horizontal="center" vertical="center" shrinkToFit="1" readingOrder="2"/>
      <protection locked="0"/>
    </xf>
    <xf numFmtId="0" fontId="6" fillId="0" borderId="18" xfId="0" applyFont="1" applyBorder="1" applyAlignment="1" applyProtection="1">
      <alignment horizontal="center" vertical="center" wrapText="1" readingOrder="2"/>
      <protection locked="0"/>
    </xf>
    <xf numFmtId="0" fontId="31" fillId="0" borderId="18" xfId="0" applyFont="1" applyBorder="1" applyAlignment="1" applyProtection="1">
      <alignment horizontal="center" vertical="center" shrinkToFit="1" readingOrder="2"/>
      <protection locked="0"/>
    </xf>
    <xf numFmtId="0" fontId="31" fillId="0" borderId="16" xfId="0" applyFont="1" applyBorder="1" applyAlignment="1" applyProtection="1">
      <alignment horizontal="center" vertical="center" shrinkToFit="1" readingOrder="2"/>
      <protection locked="0"/>
    </xf>
    <xf numFmtId="0" fontId="32" fillId="0" borderId="6" xfId="0" applyFont="1" applyBorder="1" applyAlignment="1" applyProtection="1">
      <alignment horizontal="center" vertical="center" readingOrder="2"/>
      <protection locked="0"/>
    </xf>
    <xf numFmtId="0" fontId="32" fillId="0" borderId="10" xfId="0" applyFont="1" applyBorder="1" applyAlignment="1" applyProtection="1">
      <alignment horizontal="center" vertical="center" readingOrder="2"/>
      <protection locked="0"/>
    </xf>
    <xf numFmtId="0" fontId="32" fillId="0" borderId="47" xfId="0" applyFont="1" applyBorder="1" applyAlignment="1" applyProtection="1">
      <alignment horizontal="center" vertical="center" readingOrder="2"/>
      <protection locked="0"/>
    </xf>
    <xf numFmtId="0" fontId="31" fillId="0" borderId="22" xfId="0" applyFont="1" applyBorder="1" applyAlignment="1" applyProtection="1">
      <alignment horizontal="center" vertical="center" readingOrder="2"/>
      <protection locked="0"/>
    </xf>
    <xf numFmtId="0" fontId="32" fillId="0" borderId="0" xfId="0" applyFont="1" applyAlignment="1" applyProtection="1">
      <alignment horizontal="right" vertical="center" readingOrder="2"/>
      <protection locked="0"/>
    </xf>
    <xf numFmtId="0" fontId="37" fillId="0" borderId="0" xfId="0" applyFont="1" applyAlignment="1" applyProtection="1">
      <alignment horizontal="center" vertical="center" readingOrder="2"/>
      <protection locked="0"/>
    </xf>
    <xf numFmtId="0" fontId="54" fillId="0" borderId="0" xfId="0" applyFont="1" applyAlignment="1" applyProtection="1">
      <alignment vertical="center" readingOrder="2"/>
      <protection locked="0"/>
    </xf>
    <xf numFmtId="0" fontId="31" fillId="0" borderId="0" xfId="0" applyFont="1" applyAlignment="1" applyProtection="1">
      <alignment horizontal="center" vertical="center" readingOrder="2"/>
    </xf>
    <xf numFmtId="0" fontId="32" fillId="0" borderId="0" xfId="0" applyFont="1" applyAlignment="1" applyProtection="1">
      <alignment horizontal="center" vertical="center" readingOrder="2"/>
    </xf>
    <xf numFmtId="0" fontId="32" fillId="0" borderId="8" xfId="0" applyFont="1" applyBorder="1" applyAlignment="1" applyProtection="1">
      <alignment vertical="center" readingOrder="2"/>
      <protection locked="0"/>
    </xf>
    <xf numFmtId="0" fontId="20" fillId="0" borderId="31" xfId="0" applyFont="1" applyBorder="1" applyAlignment="1" applyProtection="1">
      <alignment horizontal="center" vertical="center" readingOrder="2"/>
      <protection locked="0"/>
    </xf>
    <xf numFmtId="0" fontId="20" fillId="0" borderId="0" xfId="0" applyFont="1" applyBorder="1" applyAlignment="1" applyProtection="1">
      <alignment vertical="center" readingOrder="2"/>
      <protection locked="0"/>
    </xf>
    <xf numFmtId="0" fontId="30" fillId="0" borderId="41" xfId="0" applyFont="1" applyBorder="1" applyAlignment="1" applyProtection="1">
      <alignment horizontal="center" vertical="center" readingOrder="2"/>
      <protection locked="0"/>
    </xf>
    <xf numFmtId="0" fontId="30" fillId="0" borderId="6" xfId="0" applyFont="1" applyBorder="1" applyAlignment="1" applyProtection="1">
      <alignment horizontal="center" vertical="center" readingOrder="2"/>
      <protection locked="0"/>
    </xf>
    <xf numFmtId="0" fontId="30" fillId="0" borderId="10" xfId="0" applyFont="1" applyBorder="1" applyAlignment="1" applyProtection="1">
      <alignment horizontal="center" vertical="center" readingOrder="2"/>
      <protection locked="0"/>
    </xf>
    <xf numFmtId="0" fontId="30" fillId="0" borderId="24" xfId="0" applyFont="1" applyBorder="1" applyAlignment="1" applyProtection="1">
      <alignment horizontal="center" vertical="center" readingOrder="2"/>
      <protection locked="0"/>
    </xf>
    <xf numFmtId="0" fontId="20" fillId="2" borderId="44" xfId="0" applyFont="1" applyFill="1" applyBorder="1" applyAlignment="1" applyProtection="1">
      <alignment horizontal="center" vertical="center" readingOrder="2"/>
      <protection locked="0"/>
    </xf>
    <xf numFmtId="0" fontId="20" fillId="2" borderId="26" xfId="0" applyFont="1" applyFill="1" applyBorder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readingOrder="2"/>
    </xf>
    <xf numFmtId="0" fontId="0" fillId="0" borderId="0" xfId="0" applyAlignment="1" applyProtection="1">
      <alignment vertical="center" readingOrder="2"/>
    </xf>
    <xf numFmtId="0" fontId="0" fillId="0" borderId="0" xfId="0" applyAlignment="1" applyProtection="1">
      <alignment horizontal="center" vertical="center" readingOrder="2"/>
    </xf>
    <xf numFmtId="49" fontId="38" fillId="4" borderId="7" xfId="0" applyNumberFormat="1" applyFont="1" applyFill="1" applyBorder="1" applyAlignment="1" applyProtection="1">
      <alignment horizontal="center" vertical="center" readingOrder="2"/>
      <protection locked="0"/>
    </xf>
    <xf numFmtId="0" fontId="9" fillId="0" borderId="7" xfId="0" applyFont="1" applyBorder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0" fillId="0" borderId="42" xfId="0" applyBorder="1" applyAlignment="1" applyProtection="1">
      <alignment horizontal="center" vertical="center" readingOrder="2"/>
      <protection locked="0"/>
    </xf>
    <xf numFmtId="0" fontId="0" fillId="0" borderId="25" xfId="0" applyBorder="1" applyAlignment="1" applyProtection="1">
      <alignment horizontal="center" vertical="center" readingOrder="2"/>
      <protection locked="0"/>
    </xf>
    <xf numFmtId="0" fontId="27" fillId="0" borderId="7" xfId="0" applyNumberFormat="1" applyFont="1" applyBorder="1" applyAlignment="1" applyProtection="1">
      <alignment horizontal="center" vertical="center" shrinkToFit="1" readingOrder="2"/>
      <protection locked="0"/>
    </xf>
    <xf numFmtId="0" fontId="27" fillId="0" borderId="7" xfId="0" applyNumberFormat="1" applyFont="1" applyBorder="1" applyAlignment="1" applyProtection="1">
      <alignment horizontal="center" vertical="center" readingOrder="2"/>
      <protection locked="0"/>
    </xf>
    <xf numFmtId="0" fontId="4" fillId="0" borderId="7" xfId="0" applyNumberFormat="1" applyFont="1" applyBorder="1" applyAlignment="1" applyProtection="1">
      <alignment horizontal="center" vertical="center" wrapText="1" readingOrder="2"/>
      <protection locked="0"/>
    </xf>
    <xf numFmtId="0" fontId="20" fillId="0" borderId="4" xfId="0" applyNumberFormat="1" applyFont="1" applyBorder="1" applyAlignment="1">
      <alignment horizontal="center" vertical="center" shrinkToFit="1" readingOrder="2"/>
    </xf>
    <xf numFmtId="0" fontId="4" fillId="0" borderId="0" xfId="0" applyNumberFormat="1" applyFont="1" applyAlignment="1" applyProtection="1">
      <alignment horizontal="center" vertical="center" wrapText="1" readingOrder="2"/>
      <protection locked="0"/>
    </xf>
    <xf numFmtId="0" fontId="9" fillId="0" borderId="0" xfId="0" applyNumberFormat="1" applyFont="1" applyAlignment="1" applyProtection="1">
      <alignment horizontal="center" vertical="center" wrapText="1" readingOrder="2"/>
      <protection locked="0"/>
    </xf>
    <xf numFmtId="0" fontId="4" fillId="0" borderId="6" xfId="0" applyNumberFormat="1" applyFont="1" applyBorder="1" applyAlignment="1" applyProtection="1">
      <alignment horizontal="center" vertical="center" wrapText="1" readingOrder="2"/>
      <protection locked="0"/>
    </xf>
    <xf numFmtId="0" fontId="4" fillId="0" borderId="7" xfId="0" applyNumberFormat="1" applyFont="1" applyBorder="1" applyAlignment="1">
      <alignment horizontal="center" vertical="center" wrapText="1" readingOrder="2"/>
    </xf>
    <xf numFmtId="0" fontId="64" fillId="0" borderId="5" xfId="0" applyFont="1" applyBorder="1" applyAlignment="1" applyProtection="1">
      <alignment horizontal="center" vertical="center" readingOrder="2"/>
      <protection locked="0"/>
    </xf>
    <xf numFmtId="0" fontId="65" fillId="8" borderId="58" xfId="0" applyFont="1" applyFill="1" applyBorder="1" applyAlignment="1" applyProtection="1">
      <alignment horizontal="center" vertical="center" readingOrder="2"/>
      <protection locked="0"/>
    </xf>
    <xf numFmtId="0" fontId="65" fillId="8" borderId="89" xfId="0" applyFont="1" applyFill="1" applyBorder="1" applyAlignment="1" applyProtection="1">
      <alignment horizontal="center" vertical="center" readingOrder="2"/>
      <protection locked="0"/>
    </xf>
    <xf numFmtId="0" fontId="65" fillId="8" borderId="90" xfId="0" applyFont="1" applyFill="1" applyBorder="1" applyAlignment="1" applyProtection="1">
      <alignment horizontal="center" vertical="center" readingOrder="2"/>
      <protection locked="0"/>
    </xf>
    <xf numFmtId="0" fontId="66" fillId="0" borderId="13" xfId="0" applyFont="1" applyBorder="1" applyAlignment="1" applyProtection="1">
      <alignment horizontal="center" vertical="center" readingOrder="2"/>
      <protection locked="0"/>
    </xf>
    <xf numFmtId="0" fontId="65" fillId="8" borderId="33" xfId="0" applyFont="1" applyFill="1" applyBorder="1" applyAlignment="1" applyProtection="1">
      <alignment horizontal="center" vertical="center" readingOrder="2"/>
      <protection locked="0"/>
    </xf>
    <xf numFmtId="0" fontId="65" fillId="8" borderId="91" xfId="0" applyFont="1" applyFill="1" applyBorder="1" applyAlignment="1" applyProtection="1">
      <alignment horizontal="center" vertical="center" readingOrder="2"/>
      <protection locked="0"/>
    </xf>
    <xf numFmtId="0" fontId="65" fillId="8" borderId="92" xfId="0" applyFont="1" applyFill="1" applyBorder="1" applyAlignment="1" applyProtection="1">
      <alignment horizontal="center" vertical="center" readingOrder="2"/>
      <protection locked="0"/>
    </xf>
    <xf numFmtId="0" fontId="65" fillId="8" borderId="9" xfId="0" applyFont="1" applyFill="1" applyBorder="1" applyAlignment="1" applyProtection="1">
      <alignment horizontal="center" vertical="center" readingOrder="2"/>
      <protection locked="0"/>
    </xf>
    <xf numFmtId="0" fontId="65" fillId="8" borderId="93" xfId="0" applyFont="1" applyFill="1" applyBorder="1" applyAlignment="1" applyProtection="1">
      <alignment horizontal="center" vertical="center" readingOrder="2"/>
      <protection locked="0"/>
    </xf>
    <xf numFmtId="0" fontId="65" fillId="8" borderId="94" xfId="0" applyFont="1" applyFill="1" applyBorder="1" applyAlignment="1" applyProtection="1">
      <alignment horizontal="center" vertical="center" readingOrder="2"/>
      <protection locked="0"/>
    </xf>
    <xf numFmtId="0" fontId="66" fillId="0" borderId="32" xfId="0" applyFont="1" applyBorder="1" applyAlignment="1" applyProtection="1">
      <alignment horizontal="center" vertical="center" readingOrder="2"/>
      <protection locked="0"/>
    </xf>
    <xf numFmtId="0" fontId="65" fillId="8" borderId="95" xfId="0" applyFont="1" applyFill="1" applyBorder="1" applyAlignment="1" applyProtection="1">
      <alignment horizontal="center" vertical="center" readingOrder="2"/>
      <protection locked="0"/>
    </xf>
    <xf numFmtId="0" fontId="65" fillId="8" borderId="96" xfId="0" applyFont="1" applyFill="1" applyBorder="1" applyAlignment="1" applyProtection="1">
      <alignment horizontal="center" vertical="center" readingOrder="2"/>
      <protection locked="0"/>
    </xf>
    <xf numFmtId="0" fontId="66" fillId="0" borderId="97" xfId="0" applyFont="1" applyBorder="1" applyAlignment="1" applyProtection="1">
      <alignment horizontal="center" vertical="center" readingOrder="2"/>
      <protection locked="0"/>
    </xf>
    <xf numFmtId="0" fontId="66" fillId="0" borderId="98" xfId="0" applyFont="1" applyBorder="1" applyAlignment="1" applyProtection="1">
      <alignment horizontal="center" vertical="center" readingOrder="2"/>
      <protection locked="0"/>
    </xf>
    <xf numFmtId="0" fontId="66" fillId="9" borderId="6" xfId="0" applyFont="1" applyFill="1" applyBorder="1" applyAlignment="1">
      <alignment horizontal="center" vertical="center" readingOrder="2"/>
    </xf>
    <xf numFmtId="0" fontId="66" fillId="9" borderId="10" xfId="0" applyFont="1" applyFill="1" applyBorder="1" applyAlignment="1">
      <alignment horizontal="center" vertical="center" readingOrder="2"/>
    </xf>
    <xf numFmtId="0" fontId="66" fillId="9" borderId="8" xfId="0" applyFont="1" applyFill="1" applyBorder="1" applyAlignment="1">
      <alignment horizontal="center" vertical="center" readingOrder="2"/>
    </xf>
    <xf numFmtId="0" fontId="66" fillId="9" borderId="7" xfId="0" applyFont="1" applyFill="1" applyBorder="1" applyAlignment="1">
      <alignment horizontal="center" vertical="center" shrinkToFit="1" readingOrder="2"/>
    </xf>
    <xf numFmtId="0" fontId="64" fillId="9" borderId="23" xfId="0" applyFont="1" applyFill="1" applyBorder="1" applyAlignment="1">
      <alignment horizontal="center" vertical="center" shrinkToFit="1" readingOrder="2"/>
    </xf>
    <xf numFmtId="49" fontId="68" fillId="0" borderId="7" xfId="0" applyNumberFormat="1" applyFont="1" applyBorder="1" applyAlignment="1" applyProtection="1">
      <alignment horizontal="center" vertical="center" readingOrder="2"/>
      <protection locked="0"/>
    </xf>
    <xf numFmtId="49" fontId="68" fillId="0" borderId="7" xfId="0" applyNumberFormat="1" applyFont="1" applyBorder="1" applyAlignment="1" applyProtection="1">
      <alignment horizontal="center" vertical="center" shrinkToFit="1" readingOrder="2"/>
      <protection locked="0"/>
    </xf>
    <xf numFmtId="0" fontId="68" fillId="0" borderId="7" xfId="0" applyFont="1" applyBorder="1" applyAlignment="1" applyProtection="1">
      <alignment horizontal="center" vertical="center" shrinkToFit="1" readingOrder="2"/>
      <protection locked="0"/>
    </xf>
    <xf numFmtId="0" fontId="69" fillId="0" borderId="7" xfId="0" applyFont="1" applyBorder="1" applyAlignment="1" applyProtection="1">
      <alignment horizontal="center" vertical="center" shrinkToFit="1" readingOrder="2"/>
      <protection locked="0"/>
    </xf>
    <xf numFmtId="49" fontId="69" fillId="0" borderId="7" xfId="0" applyNumberFormat="1" applyFont="1" applyBorder="1" applyAlignment="1" applyProtection="1">
      <alignment horizontal="center" vertical="center" shrinkToFit="1" readingOrder="2"/>
      <protection locked="0"/>
    </xf>
    <xf numFmtId="49" fontId="69" fillId="0" borderId="7" xfId="0" applyNumberFormat="1" applyFont="1" applyBorder="1" applyAlignment="1" applyProtection="1">
      <alignment horizontal="center" vertical="center" readingOrder="2"/>
      <protection locked="0"/>
    </xf>
    <xf numFmtId="0" fontId="8" fillId="0" borderId="6" xfId="0" applyFont="1" applyBorder="1" applyAlignment="1" applyProtection="1">
      <alignment horizontal="center" vertical="center" readingOrder="2"/>
      <protection locked="0"/>
    </xf>
    <xf numFmtId="49" fontId="48" fillId="0" borderId="7" xfId="0" applyNumberFormat="1" applyFont="1" applyBorder="1" applyAlignment="1" applyProtection="1">
      <alignment horizontal="center" vertical="center" shrinkToFit="1" readingOrder="2"/>
      <protection locked="0"/>
    </xf>
    <xf numFmtId="0" fontId="70" fillId="0" borderId="7" xfId="0" applyFont="1" applyBorder="1" applyAlignment="1" applyProtection="1">
      <alignment horizontal="center" vertical="center" shrinkToFit="1" readingOrder="2"/>
      <protection locked="0"/>
    </xf>
    <xf numFmtId="0" fontId="71" fillId="0" borderId="7" xfId="0" applyFont="1" applyBorder="1" applyAlignment="1" applyProtection="1">
      <alignment horizontal="center" vertical="center" shrinkToFit="1" readingOrder="2"/>
      <protection locked="0"/>
    </xf>
    <xf numFmtId="0" fontId="71" fillId="0" borderId="6" xfId="0" applyFont="1" applyBorder="1" applyAlignment="1" applyProtection="1">
      <alignment horizontal="center" vertical="center" shrinkToFit="1" readingOrder="2"/>
      <protection locked="0"/>
    </xf>
    <xf numFmtId="0" fontId="38" fillId="0" borderId="7" xfId="0" applyFont="1" applyBorder="1" applyAlignment="1" applyProtection="1">
      <alignment horizontal="center" vertical="center" wrapText="1" readingOrder="2"/>
      <protection locked="0"/>
    </xf>
    <xf numFmtId="0" fontId="18" fillId="0" borderId="6" xfId="0" applyFont="1" applyBorder="1" applyAlignment="1" applyProtection="1">
      <alignment horizontal="center" vertical="center" shrinkToFit="1" readingOrder="2"/>
      <protection locked="0"/>
    </xf>
    <xf numFmtId="49" fontId="8" fillId="0" borderId="7" xfId="0" applyNumberFormat="1" applyFont="1" applyBorder="1" applyAlignment="1" applyProtection="1">
      <alignment horizontal="center" vertical="center" readingOrder="2"/>
      <protection locked="0"/>
    </xf>
    <xf numFmtId="49" fontId="72" fillId="0" borderId="7" xfId="0" applyNumberFormat="1" applyFont="1" applyBorder="1" applyAlignment="1" applyProtection="1">
      <alignment horizontal="center" vertical="center" shrinkToFit="1" readingOrder="2"/>
      <protection locked="0"/>
    </xf>
    <xf numFmtId="0" fontId="18" fillId="0" borderId="7" xfId="0" applyFont="1" applyBorder="1" applyAlignment="1" applyProtection="1">
      <alignment horizontal="center" vertical="center" shrinkToFit="1" readingOrder="2"/>
      <protection locked="0"/>
    </xf>
    <xf numFmtId="49" fontId="73" fillId="0" borderId="7" xfId="0" applyNumberFormat="1" applyFont="1" applyBorder="1" applyAlignment="1" applyProtection="1">
      <alignment horizontal="center" vertical="center" shrinkToFit="1" readingOrder="2"/>
      <protection locked="0"/>
    </xf>
    <xf numFmtId="49" fontId="74" fillId="0" borderId="7" xfId="0" applyNumberFormat="1" applyFont="1" applyBorder="1" applyAlignment="1" applyProtection="1">
      <alignment horizontal="center" vertical="center" shrinkToFit="1" readingOrder="2"/>
      <protection locked="0"/>
    </xf>
    <xf numFmtId="49" fontId="38" fillId="0" borderId="7" xfId="0" applyNumberFormat="1" applyFont="1" applyBorder="1" applyAlignment="1" applyProtection="1">
      <alignment horizontal="center" vertical="center" shrinkToFit="1" readingOrder="2"/>
      <protection locked="0"/>
    </xf>
    <xf numFmtId="0" fontId="38" fillId="0" borderId="0" xfId="0" applyFont="1" applyAlignment="1" applyProtection="1">
      <alignment horizontal="center" vertical="center" wrapText="1" readingOrder="2"/>
      <protection locked="0"/>
    </xf>
    <xf numFmtId="0" fontId="74" fillId="0" borderId="7" xfId="0" applyFont="1" applyBorder="1" applyAlignment="1" applyProtection="1">
      <alignment horizontal="center" vertical="center" wrapText="1" readingOrder="2"/>
      <protection locked="0"/>
    </xf>
    <xf numFmtId="0" fontId="38" fillId="0" borderId="7" xfId="0" applyFont="1" applyBorder="1" applyAlignment="1" applyProtection="1">
      <alignment horizontal="center" vertical="center" shrinkToFit="1" readingOrder="2"/>
      <protection locked="0"/>
    </xf>
    <xf numFmtId="49" fontId="72" fillId="0" borderId="7" xfId="0" applyNumberFormat="1" applyFont="1" applyBorder="1" applyAlignment="1" applyProtection="1">
      <alignment horizontal="center" vertical="center" wrapText="1" shrinkToFit="1" readingOrder="2"/>
      <protection locked="0"/>
    </xf>
    <xf numFmtId="0" fontId="73" fillId="0" borderId="7" xfId="0" applyFont="1" applyBorder="1" applyAlignment="1" applyProtection="1">
      <alignment horizontal="center" vertical="center" shrinkToFit="1" readingOrder="2"/>
      <protection locked="0"/>
    </xf>
    <xf numFmtId="49" fontId="48" fillId="0" borderId="6" xfId="0" applyNumberFormat="1" applyFont="1" applyBorder="1" applyAlignment="1" applyProtection="1">
      <alignment horizontal="center" vertical="center" shrinkToFit="1" readingOrder="2"/>
      <protection locked="0"/>
    </xf>
    <xf numFmtId="0" fontId="70" fillId="0" borderId="6" xfId="0" applyFont="1" applyBorder="1" applyAlignment="1" applyProtection="1">
      <alignment horizontal="center" vertical="center" shrinkToFit="1" readingOrder="2"/>
      <protection locked="0"/>
    </xf>
    <xf numFmtId="0" fontId="75" fillId="0" borderId="7" xfId="0" applyFont="1" applyBorder="1" applyAlignment="1" applyProtection="1">
      <alignment horizontal="center" vertical="center" readingOrder="2"/>
      <protection locked="0"/>
    </xf>
    <xf numFmtId="0" fontId="43" fillId="0" borderId="7" xfId="0" applyFont="1" applyBorder="1" applyAlignment="1" applyProtection="1">
      <alignment horizontal="center" vertical="center" wrapText="1" readingOrder="2"/>
      <protection locked="0"/>
    </xf>
    <xf numFmtId="49" fontId="66" fillId="0" borderId="7" xfId="0" applyNumberFormat="1" applyFont="1" applyBorder="1" applyAlignment="1" applyProtection="1">
      <alignment horizontal="center" vertical="center" shrinkToFit="1" readingOrder="2"/>
      <protection locked="0"/>
    </xf>
    <xf numFmtId="0" fontId="71" fillId="0" borderId="7" xfId="0" applyFont="1" applyBorder="1" applyAlignment="1" applyProtection="1">
      <alignment horizontal="center" vertical="center"/>
      <protection locked="0"/>
    </xf>
    <xf numFmtId="49" fontId="8" fillId="0" borderId="7" xfId="0" applyNumberFormat="1" applyFont="1" applyBorder="1" applyAlignment="1" applyProtection="1">
      <alignment horizontal="center" vertical="center" wrapText="1" readingOrder="2"/>
      <protection locked="0"/>
    </xf>
    <xf numFmtId="0" fontId="10" fillId="0" borderId="7" xfId="0" applyFont="1" applyBorder="1" applyAlignment="1" applyProtection="1">
      <alignment horizontal="center" vertical="center" wrapText="1" readingOrder="2"/>
      <protection locked="0"/>
    </xf>
    <xf numFmtId="0" fontId="76" fillId="0" borderId="7" xfId="0" applyFont="1" applyBorder="1" applyAlignment="1" applyProtection="1">
      <alignment horizontal="center" vertical="center" wrapText="1" readingOrder="2"/>
      <protection locked="0"/>
    </xf>
    <xf numFmtId="0" fontId="77" fillId="0" borderId="7" xfId="0" applyFont="1" applyBorder="1" applyAlignment="1" applyProtection="1">
      <alignment horizontal="center" vertical="center" wrapText="1" readingOrder="2"/>
      <protection locked="0"/>
    </xf>
    <xf numFmtId="49" fontId="76" fillId="0" borderId="7" xfId="0" applyNumberFormat="1" applyFont="1" applyBorder="1" applyAlignment="1" applyProtection="1">
      <alignment horizontal="center" vertical="center" wrapText="1" readingOrder="2"/>
      <protection locked="0"/>
    </xf>
    <xf numFmtId="49" fontId="77" fillId="0" borderId="7" xfId="0" applyNumberFormat="1" applyFont="1" applyBorder="1" applyAlignment="1" applyProtection="1">
      <alignment horizontal="center" vertical="center" wrapText="1" readingOrder="2"/>
      <protection locked="0"/>
    </xf>
    <xf numFmtId="0" fontId="75" fillId="8" borderId="6" xfId="0" applyFont="1" applyFill="1" applyBorder="1" applyAlignment="1" applyProtection="1">
      <alignment horizontal="center" vertical="center" readingOrder="2"/>
      <protection locked="0"/>
    </xf>
    <xf numFmtId="49" fontId="69" fillId="0" borderId="6" xfId="0" applyNumberFormat="1" applyFont="1" applyBorder="1" applyAlignment="1" applyProtection="1">
      <alignment horizontal="center" vertical="center" readingOrder="2"/>
      <protection locked="0"/>
    </xf>
    <xf numFmtId="0" fontId="69" fillId="0" borderId="6" xfId="0" applyFont="1" applyBorder="1" applyAlignment="1" applyProtection="1">
      <alignment horizontal="center" vertical="center" shrinkToFit="1" readingOrder="2"/>
      <protection locked="0"/>
    </xf>
    <xf numFmtId="0" fontId="66" fillId="0" borderId="6" xfId="0" applyFont="1" applyBorder="1" applyAlignment="1" applyProtection="1">
      <alignment horizontal="center" vertical="center" readingOrder="2"/>
      <protection locked="0"/>
    </xf>
    <xf numFmtId="49" fontId="68" fillId="0" borderId="6" xfId="0" applyNumberFormat="1" applyFont="1" applyBorder="1" applyAlignment="1" applyProtection="1">
      <alignment horizontal="center" vertical="center" shrinkToFit="1" readingOrder="2"/>
      <protection locked="0"/>
    </xf>
    <xf numFmtId="0" fontId="66" fillId="0" borderId="7" xfId="0" applyFont="1" applyBorder="1" applyAlignment="1" applyProtection="1">
      <alignment horizontal="center" vertical="center" readingOrder="2"/>
      <protection locked="0"/>
    </xf>
    <xf numFmtId="0" fontId="68" fillId="0" borderId="6" xfId="0" applyFont="1" applyBorder="1" applyAlignment="1" applyProtection="1">
      <alignment horizontal="center" vertical="center" shrinkToFit="1" readingOrder="2"/>
      <protection locked="0"/>
    </xf>
    <xf numFmtId="0" fontId="48" fillId="0" borderId="7" xfId="0" applyFont="1" applyBorder="1" applyAlignment="1" applyProtection="1">
      <alignment horizontal="center" vertical="center" readingOrder="2"/>
      <protection locked="0"/>
    </xf>
    <xf numFmtId="0" fontId="79" fillId="0" borderId="28" xfId="0" applyFont="1" applyBorder="1" applyAlignment="1">
      <alignment horizontal="center" vertical="center" readingOrder="2"/>
    </xf>
    <xf numFmtId="0" fontId="79" fillId="0" borderId="6" xfId="0" applyFont="1" applyBorder="1" applyAlignment="1">
      <alignment horizontal="center" vertical="center" readingOrder="2"/>
    </xf>
    <xf numFmtId="0" fontId="79" fillId="0" borderId="32" xfId="0" applyFont="1" applyBorder="1" applyAlignment="1">
      <alignment horizontal="center" vertical="center" readingOrder="2"/>
    </xf>
    <xf numFmtId="0" fontId="79" fillId="0" borderId="23" xfId="0" applyFont="1" applyBorder="1" applyAlignment="1">
      <alignment horizontal="center" vertical="center" readingOrder="2"/>
    </xf>
    <xf numFmtId="0" fontId="79" fillId="0" borderId="15" xfId="0" applyFont="1" applyBorder="1" applyAlignment="1">
      <alignment horizontal="center" vertical="center" readingOrder="2"/>
    </xf>
    <xf numFmtId="0" fontId="79" fillId="0" borderId="77" xfId="0" applyFont="1" applyBorder="1" applyAlignment="1">
      <alignment horizontal="center" vertical="center" readingOrder="2"/>
    </xf>
    <xf numFmtId="0" fontId="79" fillId="0" borderId="8" xfId="0" applyFont="1" applyBorder="1" applyAlignment="1">
      <alignment horizontal="center" vertical="center" readingOrder="2"/>
    </xf>
    <xf numFmtId="0" fontId="79" fillId="0" borderId="48" xfId="0" applyFont="1" applyBorder="1" applyAlignment="1">
      <alignment horizontal="center" vertical="center" readingOrder="2"/>
    </xf>
    <xf numFmtId="0" fontId="79" fillId="0" borderId="16" xfId="0" applyFont="1" applyBorder="1" applyAlignment="1">
      <alignment horizontal="center" vertical="center" readingOrder="2"/>
    </xf>
    <xf numFmtId="0" fontId="79" fillId="0" borderId="73" xfId="0" applyFont="1" applyBorder="1" applyAlignment="1">
      <alignment horizontal="center" vertical="center" readingOrder="2"/>
    </xf>
    <xf numFmtId="49" fontId="80" fillId="0" borderId="7" xfId="0" applyNumberFormat="1" applyFont="1" applyBorder="1" applyAlignment="1" applyProtection="1">
      <alignment horizontal="center" vertical="center" shrinkToFit="1" readingOrder="2"/>
      <protection locked="0"/>
    </xf>
    <xf numFmtId="0" fontId="55" fillId="0" borderId="0" xfId="0" applyFont="1" applyAlignment="1" applyProtection="1">
      <alignment horizontal="right" vertical="center" wrapText="1" readingOrder="2"/>
      <protection locked="0"/>
    </xf>
    <xf numFmtId="0" fontId="8" fillId="0" borderId="0" xfId="0" applyFont="1" applyAlignment="1" applyProtection="1">
      <alignment horizontal="right" vertical="center" wrapText="1" readingOrder="2"/>
      <protection locked="0"/>
    </xf>
    <xf numFmtId="0" fontId="67" fillId="0" borderId="8" xfId="0" applyFont="1" applyBorder="1" applyAlignment="1">
      <alignment horizontal="center" vertical="center" readingOrder="2"/>
    </xf>
    <xf numFmtId="0" fontId="67" fillId="0" borderId="48" xfId="0" applyFont="1" applyBorder="1" applyAlignment="1">
      <alignment horizontal="center" vertical="center" readingOrder="2"/>
    </xf>
    <xf numFmtId="0" fontId="14" fillId="0" borderId="47" xfId="0" applyFont="1" applyBorder="1" applyAlignment="1">
      <alignment horizontal="center" vertical="center" readingOrder="2"/>
    </xf>
    <xf numFmtId="0" fontId="14" fillId="0" borderId="49" xfId="0" applyFont="1" applyBorder="1" applyAlignment="1">
      <alignment horizontal="center" vertical="center" readingOrder="2"/>
    </xf>
    <xf numFmtId="0" fontId="14" fillId="0" borderId="52" xfId="0" applyFont="1" applyBorder="1" applyAlignment="1">
      <alignment horizontal="center" vertical="center" readingOrder="2"/>
    </xf>
    <xf numFmtId="0" fontId="14" fillId="0" borderId="53" xfId="0" applyFont="1" applyBorder="1" applyAlignment="1">
      <alignment horizontal="center" vertical="center" readingOrder="2"/>
    </xf>
    <xf numFmtId="0" fontId="15" fillId="0" borderId="31" xfId="0" applyFont="1" applyBorder="1" applyAlignment="1" applyProtection="1">
      <alignment horizontal="center" vertical="center" shrinkToFit="1" readingOrder="1"/>
      <protection locked="0"/>
    </xf>
    <xf numFmtId="0" fontId="15" fillId="0" borderId="39" xfId="0" applyFont="1" applyBorder="1" applyAlignment="1" applyProtection="1">
      <alignment horizontal="center" vertical="center" shrinkToFit="1" readingOrder="1"/>
      <protection locked="0"/>
    </xf>
    <xf numFmtId="0" fontId="15" fillId="0" borderId="26" xfId="0" applyFont="1" applyBorder="1" applyAlignment="1" applyProtection="1">
      <alignment horizontal="center" vertical="center" shrinkToFit="1" readingOrder="1"/>
      <protection locked="0"/>
    </xf>
    <xf numFmtId="0" fontId="0" fillId="0" borderId="31" xfId="0" applyBorder="1" applyAlignment="1" applyProtection="1">
      <alignment horizontal="center" vertical="center" shrinkToFit="1" readingOrder="2"/>
      <protection locked="0"/>
    </xf>
    <xf numFmtId="0" fontId="0" fillId="0" borderId="39" xfId="0" applyBorder="1" applyAlignment="1" applyProtection="1">
      <alignment horizontal="center" vertical="center" shrinkToFit="1" readingOrder="2"/>
      <protection locked="0"/>
    </xf>
    <xf numFmtId="0" fontId="0" fillId="0" borderId="26" xfId="0" applyBorder="1" applyAlignment="1" applyProtection="1">
      <alignment horizontal="center" vertical="center" shrinkToFit="1" readingOrder="2"/>
      <protection locked="0"/>
    </xf>
    <xf numFmtId="0" fontId="14" fillId="0" borderId="22" xfId="0" applyFont="1" applyBorder="1" applyAlignment="1">
      <alignment horizontal="center" vertical="center" wrapText="1" readingOrder="2"/>
    </xf>
    <xf numFmtId="0" fontId="14" fillId="0" borderId="50" xfId="0" applyFont="1" applyBorder="1" applyAlignment="1">
      <alignment horizontal="center" vertical="center" wrapText="1" readingOrder="2"/>
    </xf>
    <xf numFmtId="0" fontId="14" fillId="0" borderId="51" xfId="0" applyFont="1" applyBorder="1" applyAlignment="1">
      <alignment horizontal="center" vertical="center" wrapText="1" readingOrder="2"/>
    </xf>
    <xf numFmtId="0" fontId="15" fillId="0" borderId="39" xfId="0" applyFont="1" applyBorder="1" applyAlignment="1">
      <alignment horizontal="center" vertical="center" shrinkToFit="1" readingOrder="2"/>
    </xf>
    <xf numFmtId="0" fontId="15" fillId="0" borderId="1" xfId="0" applyFont="1" applyBorder="1" applyAlignment="1">
      <alignment horizontal="center" vertical="center" shrinkToFit="1" readingOrder="2"/>
    </xf>
    <xf numFmtId="0" fontId="14" fillId="0" borderId="39" xfId="0" applyFont="1" applyBorder="1" applyAlignment="1">
      <alignment horizontal="center" vertical="center" shrinkToFit="1" readingOrder="2"/>
    </xf>
    <xf numFmtId="0" fontId="14" fillId="0" borderId="1" xfId="0" applyFont="1" applyBorder="1" applyAlignment="1">
      <alignment horizontal="center" vertical="center" shrinkToFit="1" readingOrder="2"/>
    </xf>
    <xf numFmtId="0" fontId="20" fillId="0" borderId="47" xfId="0" applyFont="1" applyBorder="1" applyAlignment="1">
      <alignment horizontal="center" vertical="center" readingOrder="2"/>
    </xf>
    <xf numFmtId="0" fontId="20" fillId="0" borderId="40" xfId="0" applyFont="1" applyBorder="1" applyAlignment="1">
      <alignment horizontal="center" vertical="center" readingOrder="2"/>
    </xf>
    <xf numFmtId="0" fontId="20" fillId="0" borderId="56" xfId="0" applyFont="1" applyBorder="1" applyAlignment="1">
      <alignment horizontal="center" vertical="center" readingOrder="2"/>
    </xf>
    <xf numFmtId="0" fontId="20" fillId="0" borderId="40" xfId="0" applyFont="1" applyBorder="1" applyAlignment="1" applyProtection="1">
      <alignment horizontal="center" vertical="center" readingOrder="2"/>
      <protection locked="0"/>
    </xf>
    <xf numFmtId="0" fontId="20" fillId="0" borderId="49" xfId="0" applyFont="1" applyBorder="1" applyAlignment="1" applyProtection="1">
      <alignment horizontal="center" vertical="center" readingOrder="2"/>
      <protection locked="0"/>
    </xf>
    <xf numFmtId="0" fontId="34" fillId="0" borderId="36" xfId="0" applyFont="1" applyBorder="1" applyAlignment="1" applyProtection="1">
      <alignment horizontal="center" vertical="center" readingOrder="2"/>
      <protection locked="0"/>
    </xf>
    <xf numFmtId="0" fontId="34" fillId="0" borderId="53" xfId="0" applyFont="1" applyBorder="1" applyAlignment="1" applyProtection="1">
      <alignment horizontal="center" vertical="center" readingOrder="2"/>
      <protection locked="0"/>
    </xf>
    <xf numFmtId="0" fontId="14" fillId="0" borderId="44" xfId="0" applyFont="1" applyBorder="1" applyAlignment="1">
      <alignment horizontal="center" vertical="center" readingOrder="2"/>
    </xf>
    <xf numFmtId="0" fontId="14" fillId="0" borderId="39" xfId="0" applyFont="1" applyBorder="1" applyAlignment="1">
      <alignment horizontal="center" vertical="center" readingOrder="2"/>
    </xf>
    <xf numFmtId="0" fontId="14" fillId="0" borderId="26" xfId="0" applyFont="1" applyBorder="1" applyAlignment="1">
      <alignment horizontal="center" vertical="center" readingOrder="2"/>
    </xf>
    <xf numFmtId="0" fontId="11" fillId="0" borderId="0" xfId="0" applyFont="1" applyAlignment="1" applyProtection="1">
      <alignment horizontal="right" vertical="center" wrapText="1" readingOrder="2"/>
      <protection locked="0"/>
    </xf>
    <xf numFmtId="0" fontId="20" fillId="0" borderId="44" xfId="0" applyFont="1" applyBorder="1" applyAlignment="1">
      <alignment horizontal="center" vertical="center" readingOrder="2"/>
    </xf>
    <xf numFmtId="0" fontId="20" fillId="0" borderId="39" xfId="0" applyFont="1" applyBorder="1" applyAlignment="1">
      <alignment horizontal="center" vertical="center" readingOrder="2"/>
    </xf>
    <xf numFmtId="0" fontId="20" fillId="0" borderId="39" xfId="0" applyFont="1" applyBorder="1" applyAlignment="1" applyProtection="1">
      <alignment horizontal="center" vertical="center" readingOrder="2"/>
      <protection locked="0"/>
    </xf>
    <xf numFmtId="0" fontId="20" fillId="0" borderId="26" xfId="0" applyFont="1" applyBorder="1" applyAlignment="1" applyProtection="1">
      <alignment horizontal="center" vertical="center" readingOrder="2"/>
      <protection locked="0"/>
    </xf>
    <xf numFmtId="0" fontId="20" fillId="0" borderId="26" xfId="0" applyFont="1" applyBorder="1" applyAlignment="1">
      <alignment horizontal="center" vertical="center" readingOrder="2"/>
    </xf>
    <xf numFmtId="0" fontId="20" fillId="0" borderId="49" xfId="0" applyFont="1" applyBorder="1" applyAlignment="1">
      <alignment horizontal="center" vertical="center" readingOrder="2"/>
    </xf>
    <xf numFmtId="0" fontId="46" fillId="5" borderId="44" xfId="0" applyFont="1" applyFill="1" applyBorder="1" applyAlignment="1">
      <alignment horizontal="center" vertical="center" readingOrder="2"/>
    </xf>
    <xf numFmtId="0" fontId="46" fillId="5" borderId="26" xfId="0" applyFont="1" applyFill="1" applyBorder="1" applyAlignment="1">
      <alignment horizontal="center" vertical="center" readingOrder="2"/>
    </xf>
    <xf numFmtId="0" fontId="40" fillId="0" borderId="22" xfId="0" applyFont="1" applyBorder="1" applyAlignment="1">
      <alignment horizontal="center" vertical="center" textRotation="90" readingOrder="2"/>
    </xf>
    <xf numFmtId="0" fontId="40" fillId="0" borderId="50" xfId="0" applyFont="1" applyBorder="1" applyAlignment="1">
      <alignment horizontal="center" vertical="center" textRotation="90" readingOrder="2"/>
    </xf>
    <xf numFmtId="0" fontId="40" fillId="0" borderId="51" xfId="0" applyFont="1" applyBorder="1" applyAlignment="1">
      <alignment horizontal="center" vertical="center" textRotation="90" readingOrder="2"/>
    </xf>
    <xf numFmtId="0" fontId="14" fillId="2" borderId="47" xfId="0" applyFont="1" applyFill="1" applyBorder="1" applyAlignment="1">
      <alignment horizontal="center" vertical="center" readingOrder="2"/>
    </xf>
    <xf numFmtId="0" fontId="14" fillId="2" borderId="40" xfId="0" applyFont="1" applyFill="1" applyBorder="1" applyAlignment="1">
      <alignment horizontal="center" vertical="center" readingOrder="2"/>
    </xf>
    <xf numFmtId="0" fontId="14" fillId="2" borderId="52" xfId="0" applyFont="1" applyFill="1" applyBorder="1" applyAlignment="1">
      <alignment horizontal="center" vertical="center" readingOrder="2"/>
    </xf>
    <xf numFmtId="0" fontId="14" fillId="2" borderId="36" xfId="0" applyFont="1" applyFill="1" applyBorder="1" applyAlignment="1">
      <alignment horizontal="center" vertical="center" readingOrder="2"/>
    </xf>
    <xf numFmtId="0" fontId="21" fillId="2" borderId="47" xfId="0" applyFont="1" applyFill="1" applyBorder="1" applyAlignment="1">
      <alignment horizontal="center" vertical="center" readingOrder="2"/>
    </xf>
    <xf numFmtId="0" fontId="21" fillId="2" borderId="49" xfId="0" applyFont="1" applyFill="1" applyBorder="1" applyAlignment="1">
      <alignment horizontal="center" vertical="center" readingOrder="2"/>
    </xf>
    <xf numFmtId="0" fontId="21" fillId="2" borderId="52" xfId="0" applyFont="1" applyFill="1" applyBorder="1" applyAlignment="1">
      <alignment horizontal="center" vertical="center" readingOrder="2"/>
    </xf>
    <xf numFmtId="0" fontId="21" fillId="2" borderId="53" xfId="0" applyFont="1" applyFill="1" applyBorder="1" applyAlignment="1">
      <alignment horizontal="center" vertical="center" readingOrder="2"/>
    </xf>
    <xf numFmtId="0" fontId="66" fillId="0" borderId="8" xfId="0" applyFont="1" applyBorder="1" applyAlignment="1">
      <alignment horizontal="center" vertical="center" readingOrder="2"/>
    </xf>
    <xf numFmtId="0" fontId="66" fillId="0" borderId="48" xfId="0" applyFont="1" applyBorder="1" applyAlignment="1">
      <alignment horizontal="center" vertical="center" readingOrder="2"/>
    </xf>
    <xf numFmtId="0" fontId="14" fillId="0" borderId="34" xfId="0" applyFont="1" applyBorder="1" applyAlignment="1">
      <alignment horizontal="center" vertical="center" readingOrder="2"/>
    </xf>
    <xf numFmtId="0" fontId="14" fillId="0" borderId="31" xfId="0" applyFont="1" applyBorder="1" applyAlignment="1">
      <alignment horizontal="center" vertical="center" readingOrder="2"/>
    </xf>
    <xf numFmtId="0" fontId="0" fillId="0" borderId="33" xfId="0" applyBorder="1" applyAlignment="1">
      <alignment horizontal="center" vertical="center" readingOrder="2"/>
    </xf>
    <xf numFmtId="0" fontId="0" fillId="0" borderId="13" xfId="0" applyBorder="1" applyAlignment="1">
      <alignment horizontal="center" vertical="center" readingOrder="2"/>
    </xf>
    <xf numFmtId="0" fontId="18" fillId="0" borderId="45" xfId="0" applyFont="1" applyBorder="1" applyAlignment="1">
      <alignment horizontal="center" vertical="center" readingOrder="2"/>
    </xf>
    <xf numFmtId="0" fontId="18" fillId="0" borderId="7" xfId="0" applyFont="1" applyBorder="1" applyAlignment="1">
      <alignment horizontal="center" vertical="center" readingOrder="2"/>
    </xf>
    <xf numFmtId="0" fontId="18" fillId="0" borderId="10" xfId="0" applyFont="1" applyBorder="1" applyAlignment="1" applyProtection="1">
      <alignment horizontal="right" vertical="center" readingOrder="2"/>
      <protection locked="0"/>
    </xf>
    <xf numFmtId="0" fontId="18" fillId="0" borderId="68" xfId="0" applyFont="1" applyBorder="1" applyAlignment="1" applyProtection="1">
      <alignment horizontal="right" vertical="center" readingOrder="2"/>
      <protection locked="0"/>
    </xf>
    <xf numFmtId="0" fontId="18" fillId="0" borderId="28" xfId="0" applyFont="1" applyBorder="1" applyAlignment="1" applyProtection="1">
      <alignment horizontal="right" vertical="center" readingOrder="2"/>
      <protection locked="0"/>
    </xf>
    <xf numFmtId="0" fontId="18" fillId="0" borderId="38" xfId="0" applyFont="1" applyBorder="1" applyAlignment="1" applyProtection="1">
      <alignment horizontal="right" vertical="center" readingOrder="2"/>
      <protection locked="0"/>
    </xf>
    <xf numFmtId="0" fontId="18" fillId="0" borderId="0" xfId="0" applyFont="1" applyAlignment="1" applyProtection="1">
      <alignment horizontal="right" vertical="center" readingOrder="2"/>
      <protection locked="0"/>
    </xf>
    <xf numFmtId="0" fontId="18" fillId="0" borderId="37" xfId="0" applyFont="1" applyBorder="1" applyAlignment="1" applyProtection="1">
      <alignment horizontal="right" vertical="center" readingOrder="2"/>
      <protection locked="0"/>
    </xf>
    <xf numFmtId="0" fontId="64" fillId="0" borderId="8" xfId="0" applyFont="1" applyBorder="1" applyAlignment="1" applyProtection="1">
      <alignment horizontal="center" vertical="center" shrinkToFit="1" readingOrder="2"/>
      <protection locked="0"/>
    </xf>
    <xf numFmtId="0" fontId="64" fillId="0" borderId="48" xfId="0" applyFont="1" applyBorder="1" applyAlignment="1" applyProtection="1">
      <alignment horizontal="center" vertical="center" shrinkToFit="1" readingOrder="2"/>
      <protection locked="0"/>
    </xf>
    <xf numFmtId="0" fontId="0" fillId="0" borderId="59" xfId="0" applyBorder="1" applyAlignment="1">
      <alignment horizontal="center" vertical="center" readingOrder="2"/>
    </xf>
    <xf numFmtId="0" fontId="0" fillId="0" borderId="14" xfId="0" applyBorder="1" applyAlignment="1">
      <alignment horizontal="center" vertical="center" readingOrder="2"/>
    </xf>
    <xf numFmtId="0" fontId="64" fillId="0" borderId="26" xfId="0" applyFont="1" applyBorder="1" applyAlignment="1">
      <alignment horizontal="center" vertical="center" shrinkToFit="1" readingOrder="2"/>
    </xf>
    <xf numFmtId="0" fontId="21" fillId="0" borderId="43" xfId="0" applyFont="1" applyBorder="1" applyAlignment="1" applyProtection="1">
      <alignment horizontal="center" vertical="center" readingOrder="2"/>
      <protection locked="0"/>
    </xf>
    <xf numFmtId="0" fontId="21" fillId="0" borderId="69" xfId="0" applyFont="1" applyBorder="1" applyAlignment="1" applyProtection="1">
      <alignment horizontal="center" vertical="center" readingOrder="2"/>
      <protection locked="0"/>
    </xf>
    <xf numFmtId="0" fontId="21" fillId="0" borderId="32" xfId="0" applyFont="1" applyBorder="1" applyAlignment="1" applyProtection="1">
      <alignment horizontal="center" vertical="center" readingOrder="2"/>
      <protection locked="0"/>
    </xf>
    <xf numFmtId="0" fontId="64" fillId="0" borderId="16" xfId="0" applyFont="1" applyBorder="1" applyAlignment="1" applyProtection="1">
      <alignment horizontal="center" vertical="center" shrinkToFit="1" readingOrder="2"/>
      <protection locked="0"/>
    </xf>
    <xf numFmtId="0" fontId="64" fillId="0" borderId="73" xfId="0" applyFont="1" applyBorder="1" applyAlignment="1" applyProtection="1">
      <alignment horizontal="center" vertical="center" shrinkToFit="1" readingOrder="2"/>
      <protection locked="0"/>
    </xf>
    <xf numFmtId="0" fontId="18" fillId="0" borderId="0" xfId="0" applyFont="1" applyAlignment="1" applyProtection="1">
      <alignment horizontal="right" vertical="center" wrapText="1" readingOrder="2"/>
      <protection locked="0"/>
    </xf>
    <xf numFmtId="0" fontId="18" fillId="0" borderId="33" xfId="0" applyFont="1" applyBorder="1" applyAlignment="1">
      <alignment horizontal="center" vertical="center" readingOrder="2"/>
    </xf>
    <xf numFmtId="0" fontId="18" fillId="0" borderId="13" xfId="0" applyFont="1" applyBorder="1" applyAlignment="1">
      <alignment horizontal="center" vertical="center" readingOrder="2"/>
    </xf>
    <xf numFmtId="49" fontId="18" fillId="0" borderId="0" xfId="0" applyNumberFormat="1" applyFont="1" applyAlignment="1" applyProtection="1">
      <alignment horizontal="center" vertical="center" readingOrder="2"/>
      <protection locked="0"/>
    </xf>
    <xf numFmtId="0" fontId="18" fillId="0" borderId="0" xfId="0" applyNumberFormat="1" applyFont="1" applyAlignment="1" applyProtection="1">
      <alignment horizontal="center" vertical="center" readingOrder="2"/>
      <protection locked="0"/>
    </xf>
    <xf numFmtId="0" fontId="18" fillId="0" borderId="37" xfId="0" applyNumberFormat="1" applyFont="1" applyBorder="1" applyAlignment="1" applyProtection="1">
      <alignment horizontal="center" vertical="center" readingOrder="2"/>
      <protection locked="0"/>
    </xf>
    <xf numFmtId="0" fontId="10" fillId="0" borderId="0" xfId="0" applyFont="1" applyAlignment="1" applyProtection="1">
      <alignment horizontal="right" vertical="center" wrapText="1" readingOrder="2"/>
      <protection locked="0"/>
    </xf>
    <xf numFmtId="0" fontId="14" fillId="0" borderId="29" xfId="0" applyFont="1" applyBorder="1" applyAlignment="1">
      <alignment horizontal="center" vertical="center" wrapText="1" readingOrder="2"/>
    </xf>
    <xf numFmtId="0" fontId="14" fillId="0" borderId="30" xfId="0" applyFont="1" applyBorder="1" applyAlignment="1">
      <alignment horizontal="center" vertical="center" wrapText="1" readingOrder="2"/>
    </xf>
    <xf numFmtId="0" fontId="14" fillId="0" borderId="60" xfId="0" applyFont="1" applyBorder="1" applyAlignment="1">
      <alignment horizontal="center" vertical="center" wrapText="1" readingOrder="2"/>
    </xf>
    <xf numFmtId="0" fontId="20" fillId="5" borderId="47" xfId="0" applyFont="1" applyFill="1" applyBorder="1" applyAlignment="1" applyProtection="1">
      <alignment horizontal="center" vertical="center" shrinkToFit="1" readingOrder="2"/>
      <protection locked="0"/>
    </xf>
    <xf numFmtId="0" fontId="20" fillId="5" borderId="49" xfId="0" applyFont="1" applyFill="1" applyBorder="1" applyAlignment="1" applyProtection="1">
      <alignment horizontal="center" vertical="center" shrinkToFit="1" readingOrder="2"/>
      <protection locked="0"/>
    </xf>
    <xf numFmtId="0" fontId="20" fillId="5" borderId="52" xfId="0" applyFont="1" applyFill="1" applyBorder="1" applyAlignment="1" applyProtection="1">
      <alignment horizontal="center" vertical="center" shrinkToFit="1" readingOrder="2"/>
      <protection locked="0"/>
    </xf>
    <xf numFmtId="0" fontId="20" fillId="5" borderId="53" xfId="0" applyFont="1" applyFill="1" applyBorder="1" applyAlignment="1" applyProtection="1">
      <alignment horizontal="center" vertical="center" shrinkToFit="1" readingOrder="2"/>
      <protection locked="0"/>
    </xf>
    <xf numFmtId="0" fontId="14" fillId="0" borderId="44" xfId="0" applyFont="1" applyBorder="1" applyAlignment="1">
      <alignment horizontal="center" vertical="center" wrapText="1" readingOrder="2"/>
    </xf>
    <xf numFmtId="0" fontId="14" fillId="0" borderId="26" xfId="0" applyFont="1" applyBorder="1" applyAlignment="1">
      <alignment horizontal="center" vertical="center" wrapText="1" readingOrder="2"/>
    </xf>
    <xf numFmtId="0" fontId="20" fillId="0" borderId="34" xfId="0" applyFont="1" applyBorder="1" applyAlignment="1">
      <alignment horizontal="center" vertical="center" readingOrder="2"/>
    </xf>
    <xf numFmtId="0" fontId="20" fillId="0" borderId="2" xfId="0" applyFont="1" applyBorder="1" applyAlignment="1">
      <alignment horizontal="center" vertical="center" readingOrder="2"/>
    </xf>
    <xf numFmtId="0" fontId="20" fillId="0" borderId="35" xfId="0" applyFont="1" applyBorder="1" applyAlignment="1">
      <alignment horizontal="center" vertical="center" readingOrder="2"/>
    </xf>
    <xf numFmtId="0" fontId="64" fillId="0" borderId="44" xfId="0" applyFont="1" applyBorder="1" applyAlignment="1" applyProtection="1">
      <alignment horizontal="center" vertical="center" readingOrder="2"/>
      <protection locked="0"/>
    </xf>
    <xf numFmtId="0" fontId="64" fillId="0" borderId="39" xfId="0" applyFont="1" applyBorder="1" applyAlignment="1" applyProtection="1">
      <alignment horizontal="center" vertical="center" readingOrder="2"/>
      <protection locked="0"/>
    </xf>
    <xf numFmtId="0" fontId="64" fillId="0" borderId="26" xfId="0" applyFont="1" applyBorder="1" applyAlignment="1" applyProtection="1">
      <alignment horizontal="center" vertical="center" readingOrder="2"/>
      <protection locked="0"/>
    </xf>
    <xf numFmtId="0" fontId="20" fillId="0" borderId="31" xfId="0" applyFont="1" applyBorder="1" applyAlignment="1">
      <alignment horizontal="center" vertical="center" readingOrder="2"/>
    </xf>
    <xf numFmtId="0" fontId="21" fillId="0" borderId="44" xfId="0" applyFont="1" applyBorder="1" applyAlignment="1">
      <alignment horizontal="center" vertical="center" readingOrder="2"/>
    </xf>
    <xf numFmtId="0" fontId="21" fillId="0" borderId="39" xfId="0" applyFont="1" applyBorder="1" applyAlignment="1">
      <alignment horizontal="center" vertical="center" readingOrder="2"/>
    </xf>
    <xf numFmtId="0" fontId="21" fillId="0" borderId="26" xfId="0" applyFont="1" applyBorder="1" applyAlignment="1">
      <alignment horizontal="center" vertical="center" readingOrder="2"/>
    </xf>
    <xf numFmtId="0" fontId="0" fillId="0" borderId="34" xfId="0" applyBorder="1" applyAlignment="1" applyProtection="1">
      <alignment horizontal="center" vertical="center" readingOrder="2"/>
      <protection locked="0"/>
    </xf>
    <xf numFmtId="0" fontId="0" fillId="0" borderId="35" xfId="0" applyBorder="1" applyAlignment="1" applyProtection="1">
      <alignment horizontal="center" vertical="center" readingOrder="2"/>
      <protection locked="0"/>
    </xf>
    <xf numFmtId="0" fontId="14" fillId="0" borderId="34" xfId="0" applyFont="1" applyBorder="1" applyAlignment="1">
      <alignment horizontal="center" vertical="center" wrapText="1" readingOrder="2"/>
    </xf>
    <xf numFmtId="0" fontId="14" fillId="0" borderId="35" xfId="0" applyFont="1" applyBorder="1" applyAlignment="1">
      <alignment horizontal="center" vertical="center" wrapText="1" readingOrder="2"/>
    </xf>
    <xf numFmtId="0" fontId="20" fillId="0" borderId="54" xfId="0" applyFont="1" applyBorder="1" applyAlignment="1">
      <alignment horizontal="center" vertical="center" readingOrder="2"/>
    </xf>
    <xf numFmtId="0" fontId="20" fillId="0" borderId="12" xfId="0" applyFont="1" applyBorder="1" applyAlignment="1">
      <alignment horizontal="center" vertical="center" readingOrder="2"/>
    </xf>
    <xf numFmtId="0" fontId="63" fillId="0" borderId="44" xfId="0" applyFont="1" applyBorder="1" applyAlignment="1" applyProtection="1">
      <alignment horizontal="center" vertical="center" readingOrder="2"/>
      <protection locked="0"/>
    </xf>
    <xf numFmtId="0" fontId="35" fillId="0" borderId="47" xfId="0" applyFont="1" applyBorder="1" applyAlignment="1" applyProtection="1">
      <alignment horizontal="center" vertical="center" shrinkToFit="1" readingOrder="2"/>
      <protection locked="0"/>
    </xf>
    <xf numFmtId="0" fontId="35" fillId="0" borderId="40" xfId="0" applyFont="1" applyBorder="1" applyAlignment="1" applyProtection="1">
      <alignment horizontal="center" vertical="center" shrinkToFit="1" readingOrder="2"/>
      <protection locked="0"/>
    </xf>
    <xf numFmtId="0" fontId="35" fillId="0" borderId="49" xfId="0" applyFont="1" applyBorder="1" applyAlignment="1" applyProtection="1">
      <alignment horizontal="center" vertical="center" shrinkToFit="1" readingOrder="2"/>
      <protection locked="0"/>
    </xf>
    <xf numFmtId="0" fontId="35" fillId="0" borderId="52" xfId="0" applyFont="1" applyBorder="1" applyAlignment="1" applyProtection="1">
      <alignment horizontal="center" vertical="center" shrinkToFit="1" readingOrder="2"/>
      <protection locked="0"/>
    </xf>
    <xf numFmtId="0" fontId="35" fillId="0" borderId="36" xfId="0" applyFont="1" applyBorder="1" applyAlignment="1" applyProtection="1">
      <alignment horizontal="center" vertical="center" shrinkToFit="1" readingOrder="2"/>
      <protection locked="0"/>
    </xf>
    <xf numFmtId="0" fontId="35" fillId="0" borderId="53" xfId="0" applyFont="1" applyBorder="1" applyAlignment="1" applyProtection="1">
      <alignment horizontal="center" vertical="center" shrinkToFit="1" readingOrder="2"/>
      <protection locked="0"/>
    </xf>
    <xf numFmtId="0" fontId="30" fillId="0" borderId="47" xfId="0" applyFont="1" applyBorder="1" applyAlignment="1" applyProtection="1">
      <alignment horizontal="center" vertical="center" shrinkToFit="1" readingOrder="2"/>
      <protection locked="0"/>
    </xf>
    <xf numFmtId="0" fontId="30" fillId="0" borderId="40" xfId="0" applyFont="1" applyBorder="1" applyAlignment="1" applyProtection="1">
      <alignment horizontal="center" vertical="center" shrinkToFit="1" readingOrder="2"/>
      <protection locked="0"/>
    </xf>
    <xf numFmtId="0" fontId="30" fillId="0" borderId="49" xfId="0" applyFont="1" applyBorder="1" applyAlignment="1" applyProtection="1">
      <alignment horizontal="center" vertical="center" shrinkToFit="1" readingOrder="2"/>
      <protection locked="0"/>
    </xf>
    <xf numFmtId="0" fontId="30" fillId="0" borderId="52" xfId="0" applyFont="1" applyBorder="1" applyAlignment="1" applyProtection="1">
      <alignment horizontal="center" vertical="center" shrinkToFit="1" readingOrder="2"/>
      <protection locked="0"/>
    </xf>
    <xf numFmtId="0" fontId="30" fillId="0" borderId="36" xfId="0" applyFont="1" applyBorder="1" applyAlignment="1" applyProtection="1">
      <alignment horizontal="center" vertical="center" shrinkToFit="1" readingOrder="2"/>
      <protection locked="0"/>
    </xf>
    <xf numFmtId="0" fontId="30" fillId="0" borderId="53" xfId="0" applyFont="1" applyBorder="1" applyAlignment="1" applyProtection="1">
      <alignment horizontal="center" vertical="center" shrinkToFit="1" readingOrder="2"/>
      <protection locked="0"/>
    </xf>
    <xf numFmtId="0" fontId="31" fillId="0" borderId="0" xfId="0" applyFont="1" applyAlignment="1">
      <alignment horizontal="center" vertical="center" readingOrder="2"/>
    </xf>
    <xf numFmtId="0" fontId="14" fillId="0" borderId="1" xfId="0" applyFont="1" applyBorder="1" applyAlignment="1">
      <alignment horizontal="center" vertical="center" readingOrder="2"/>
    </xf>
    <xf numFmtId="0" fontId="14" fillId="0" borderId="35" xfId="0" applyFont="1" applyBorder="1" applyAlignment="1">
      <alignment horizontal="center" vertical="center" readingOrder="2"/>
    </xf>
    <xf numFmtId="0" fontId="20" fillId="0" borderId="58" xfId="0" applyFont="1" applyBorder="1" applyAlignment="1">
      <alignment horizontal="center" vertical="center" readingOrder="2"/>
    </xf>
    <xf numFmtId="0" fontId="20" fillId="0" borderId="33" xfId="0" applyFont="1" applyBorder="1" applyAlignment="1">
      <alignment horizontal="center" vertical="center" readingOrder="2"/>
    </xf>
    <xf numFmtId="0" fontId="20" fillId="0" borderId="59" xfId="0" applyFont="1" applyBorder="1" applyAlignment="1">
      <alignment horizontal="center" vertical="center" readingOrder="2"/>
    </xf>
    <xf numFmtId="0" fontId="20" fillId="0" borderId="29" xfId="0" applyFont="1" applyBorder="1" applyAlignment="1">
      <alignment horizontal="center" vertical="center" wrapText="1" readingOrder="2"/>
    </xf>
    <xf numFmtId="0" fontId="20" fillId="0" borderId="30" xfId="0" applyFont="1" applyBorder="1" applyAlignment="1">
      <alignment horizontal="center" vertical="center" wrapText="1" readingOrder="2"/>
    </xf>
    <xf numFmtId="0" fontId="20" fillId="0" borderId="60" xfId="0" applyFont="1" applyBorder="1" applyAlignment="1">
      <alignment horizontal="center" vertical="center" wrapText="1" readingOrder="2"/>
    </xf>
    <xf numFmtId="0" fontId="64" fillId="0" borderId="34" xfId="0" applyFont="1" applyBorder="1" applyAlignment="1" applyProtection="1">
      <alignment horizontal="center" vertical="center" readingOrder="2"/>
      <protection locked="0"/>
    </xf>
    <xf numFmtId="0" fontId="64" fillId="0" borderId="35" xfId="0" applyFont="1" applyBorder="1" applyAlignment="1" applyProtection="1">
      <alignment horizontal="center" vertical="center" readingOrder="2"/>
      <protection locked="0"/>
    </xf>
    <xf numFmtId="0" fontId="20" fillId="0" borderId="1" xfId="0" applyFont="1" applyBorder="1" applyAlignment="1">
      <alignment horizontal="center" vertical="center" readingOrder="2"/>
    </xf>
    <xf numFmtId="0" fontId="18" fillId="0" borderId="41" xfId="0" applyFont="1" applyBorder="1" applyAlignment="1">
      <alignment horizontal="center" vertical="center" readingOrder="2"/>
    </xf>
    <xf numFmtId="0" fontId="18" fillId="0" borderId="6" xfId="0" applyFont="1" applyBorder="1" applyAlignment="1">
      <alignment horizontal="center" vertical="center" readingOrder="2"/>
    </xf>
    <xf numFmtId="0" fontId="14" fillId="0" borderId="22" xfId="0" applyFont="1" applyBorder="1" applyAlignment="1">
      <alignment horizontal="center" vertical="center" readingOrder="2"/>
    </xf>
    <xf numFmtId="0" fontId="14" fillId="0" borderId="50" xfId="0" applyFont="1" applyBorder="1" applyAlignment="1">
      <alignment horizontal="center" vertical="center" readingOrder="2"/>
    </xf>
    <xf numFmtId="0" fontId="14" fillId="0" borderId="51" xfId="0" applyFont="1" applyBorder="1" applyAlignment="1">
      <alignment horizontal="center" vertical="center" readingOrder="2"/>
    </xf>
    <xf numFmtId="0" fontId="18" fillId="0" borderId="27" xfId="0" applyFont="1" applyBorder="1" applyAlignment="1">
      <alignment horizontal="center" vertical="center" readingOrder="2"/>
    </xf>
    <xf numFmtId="0" fontId="18" fillId="0" borderId="28" xfId="0" applyFont="1" applyBorder="1" applyAlignment="1">
      <alignment horizontal="center" vertical="center" readingOrder="2"/>
    </xf>
    <xf numFmtId="0" fontId="20" fillId="0" borderId="0" xfId="0" applyFont="1" applyAlignment="1">
      <alignment horizontal="center" vertical="center" wrapText="1" readingOrder="2"/>
    </xf>
    <xf numFmtId="0" fontId="47" fillId="0" borderId="40" xfId="0" applyFont="1" applyBorder="1" applyAlignment="1" applyProtection="1">
      <alignment horizontal="center" vertical="center" readingOrder="2"/>
      <protection locked="0"/>
    </xf>
    <xf numFmtId="0" fontId="47" fillId="0" borderId="36" xfId="0" applyFont="1" applyBorder="1" applyAlignment="1" applyProtection="1">
      <alignment horizontal="center" vertical="center" readingOrder="2"/>
      <protection locked="0"/>
    </xf>
    <xf numFmtId="0" fontId="34" fillId="0" borderId="52" xfId="0" applyFont="1" applyBorder="1" applyAlignment="1">
      <alignment horizontal="center" vertical="center" readingOrder="2"/>
    </xf>
    <xf numFmtId="0" fontId="34" fillId="0" borderId="36" xfId="0" applyFont="1" applyBorder="1" applyAlignment="1">
      <alignment horizontal="center" vertical="center" readingOrder="2"/>
    </xf>
    <xf numFmtId="0" fontId="34" fillId="0" borderId="3" xfId="0" applyFont="1" applyBorder="1" applyAlignment="1">
      <alignment horizontal="center" vertical="center" readingOrder="2"/>
    </xf>
    <xf numFmtId="0" fontId="48" fillId="0" borderId="22" xfId="0" applyFont="1" applyBorder="1" applyAlignment="1" applyProtection="1">
      <alignment horizontal="center" vertical="center" shrinkToFit="1" readingOrder="2"/>
      <protection locked="0"/>
    </xf>
    <xf numFmtId="0" fontId="62" fillId="0" borderId="51" xfId="0" applyFont="1" applyBorder="1" applyAlignment="1" applyProtection="1">
      <alignment horizontal="center" vertical="center" shrinkToFit="1" readingOrder="2"/>
      <protection locked="0"/>
    </xf>
    <xf numFmtId="0" fontId="14" fillId="0" borderId="39" xfId="0" applyFont="1" applyBorder="1" applyAlignment="1">
      <alignment horizontal="center" vertical="center" wrapText="1" readingOrder="2"/>
    </xf>
    <xf numFmtId="0" fontId="67" fillId="0" borderId="15" xfId="0" applyFont="1" applyBorder="1" applyAlignment="1">
      <alignment horizontal="center" vertical="center" readingOrder="2"/>
    </xf>
    <xf numFmtId="0" fontId="67" fillId="0" borderId="77" xfId="0" applyFont="1" applyBorder="1" applyAlignment="1">
      <alignment horizontal="center" vertical="center" readingOrder="2"/>
    </xf>
    <xf numFmtId="0" fontId="48" fillId="0" borderId="47" xfId="0" applyFont="1" applyBorder="1" applyAlignment="1" applyProtection="1">
      <alignment horizontal="center" vertical="center" shrinkToFit="1" readingOrder="2"/>
      <protection locked="0"/>
    </xf>
    <xf numFmtId="0" fontId="62" fillId="0" borderId="40" xfId="0" applyFont="1" applyBorder="1" applyAlignment="1" applyProtection="1">
      <alignment horizontal="center" vertical="center" shrinkToFit="1" readingOrder="2"/>
      <protection locked="0"/>
    </xf>
    <xf numFmtId="0" fontId="62" fillId="0" borderId="49" xfId="0" applyFont="1" applyBorder="1" applyAlignment="1" applyProtection="1">
      <alignment horizontal="center" vertical="center" shrinkToFit="1" readingOrder="2"/>
      <protection locked="0"/>
    </xf>
    <xf numFmtId="0" fontId="62" fillId="0" borderId="52" xfId="0" applyFont="1" applyBorder="1" applyAlignment="1" applyProtection="1">
      <alignment horizontal="center" vertical="center" shrinkToFit="1" readingOrder="2"/>
      <protection locked="0"/>
    </xf>
    <xf numFmtId="0" fontId="62" fillId="0" borderId="36" xfId="0" applyFont="1" applyBorder="1" applyAlignment="1" applyProtection="1">
      <alignment horizontal="center" vertical="center" shrinkToFit="1" readingOrder="2"/>
      <protection locked="0"/>
    </xf>
    <xf numFmtId="0" fontId="62" fillId="0" borderId="53" xfId="0" applyFont="1" applyBorder="1" applyAlignment="1" applyProtection="1">
      <alignment horizontal="center" vertical="center" shrinkToFit="1" readingOrder="2"/>
      <protection locked="0"/>
    </xf>
    <xf numFmtId="0" fontId="0" fillId="0" borderId="39" xfId="0" applyBorder="1" applyAlignment="1">
      <alignment horizontal="center" vertical="center" readingOrder="2"/>
    </xf>
    <xf numFmtId="0" fontId="0" fillId="0" borderId="36" xfId="0" applyBorder="1" applyAlignment="1">
      <alignment horizontal="center" vertical="center" readingOrder="2"/>
    </xf>
    <xf numFmtId="0" fontId="50" fillId="0" borderId="11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20" fillId="0" borderId="22" xfId="0" applyFont="1" applyBorder="1" applyAlignment="1">
      <alignment horizontal="center" vertical="center" wrapText="1" readingOrder="2"/>
    </xf>
    <xf numFmtId="0" fontId="20" fillId="0" borderId="50" xfId="0" applyFont="1" applyBorder="1" applyAlignment="1">
      <alignment horizontal="center" vertical="center" wrapText="1" readingOrder="2"/>
    </xf>
    <xf numFmtId="0" fontId="20" fillId="0" borderId="51" xfId="0" applyFont="1" applyBorder="1" applyAlignment="1">
      <alignment horizontal="center" vertical="center" wrapText="1" readingOrder="2"/>
    </xf>
    <xf numFmtId="0" fontId="12" fillId="0" borderId="58" xfId="0" applyFont="1" applyBorder="1" applyAlignment="1">
      <alignment horizontal="center" vertical="center" textRotation="90" wrapText="1" readingOrder="2"/>
    </xf>
    <xf numFmtId="0" fontId="12" fillId="0" borderId="59" xfId="0" applyFont="1" applyBorder="1" applyAlignment="1">
      <alignment horizontal="center" vertical="center" textRotation="90" wrapText="1" readingOrder="2"/>
    </xf>
    <xf numFmtId="0" fontId="12" fillId="0" borderId="22" xfId="0" applyFont="1" applyBorder="1" applyAlignment="1">
      <alignment horizontal="center" vertical="center" wrapText="1" readingOrder="2"/>
    </xf>
    <xf numFmtId="0" fontId="12" fillId="0" borderId="51" xfId="0" applyFont="1" applyBorder="1" applyAlignment="1">
      <alignment horizontal="center" vertical="center" wrapText="1" readingOrder="2"/>
    </xf>
    <xf numFmtId="0" fontId="5" fillId="0" borderId="22" xfId="0" applyFont="1" applyBorder="1" applyAlignment="1">
      <alignment horizontal="center" vertical="center" wrapText="1" readingOrder="2"/>
    </xf>
    <xf numFmtId="0" fontId="5" fillId="0" borderId="51" xfId="0" applyFont="1" applyBorder="1" applyAlignment="1">
      <alignment horizontal="center" vertical="center" wrapText="1" readingOrder="2"/>
    </xf>
    <xf numFmtId="0" fontId="11" fillId="0" borderId="34" xfId="0" applyFont="1" applyBorder="1" applyAlignment="1">
      <alignment horizontal="center" vertical="center" wrapText="1" shrinkToFit="1" readingOrder="2"/>
    </xf>
    <xf numFmtId="0" fontId="44" fillId="0" borderId="2" xfId="0" applyFont="1" applyBorder="1" applyAlignment="1">
      <alignment horizontal="center" vertical="center" readingOrder="2"/>
    </xf>
    <xf numFmtId="0" fontId="44" fillId="0" borderId="35" xfId="0" applyFont="1" applyBorder="1" applyAlignment="1">
      <alignment horizontal="center" vertical="center" readingOrder="2"/>
    </xf>
    <xf numFmtId="49" fontId="12" fillId="0" borderId="34" xfId="0" applyNumberFormat="1" applyFont="1" applyBorder="1" applyAlignment="1">
      <alignment horizontal="center" vertical="center" wrapText="1" readingOrder="2"/>
    </xf>
    <xf numFmtId="49" fontId="12" fillId="0" borderId="35" xfId="0" applyNumberFormat="1" applyFont="1" applyBorder="1" applyAlignment="1">
      <alignment horizontal="center" vertical="center" wrapText="1" readingOrder="2"/>
    </xf>
    <xf numFmtId="0" fontId="5" fillId="0" borderId="29" xfId="0" applyFont="1" applyBorder="1" applyAlignment="1">
      <alignment horizontal="center" vertical="center" wrapText="1" readingOrder="2"/>
    </xf>
    <xf numFmtId="0" fontId="5" fillId="0" borderId="60" xfId="0" applyFont="1" applyBorder="1" applyAlignment="1">
      <alignment horizontal="center" vertical="center" wrapText="1" readingOrder="2"/>
    </xf>
    <xf numFmtId="0" fontId="12" fillId="0" borderId="29" xfId="0" applyFont="1" applyBorder="1" applyAlignment="1">
      <alignment horizontal="center" vertical="center" wrapText="1" readingOrder="2"/>
    </xf>
    <xf numFmtId="0" fontId="12" fillId="0" borderId="60" xfId="0" applyFont="1" applyBorder="1" applyAlignment="1">
      <alignment horizontal="center" vertical="center" wrapText="1" readingOrder="2"/>
    </xf>
    <xf numFmtId="49" fontId="5" fillId="0" borderId="22" xfId="0" applyNumberFormat="1" applyFont="1" applyBorder="1" applyAlignment="1">
      <alignment horizontal="center" vertical="center" wrapText="1" readingOrder="2"/>
    </xf>
    <xf numFmtId="49" fontId="5" fillId="0" borderId="51" xfId="0" applyNumberFormat="1" applyFont="1" applyBorder="1" applyAlignment="1">
      <alignment horizontal="center" vertical="center" wrapText="1" readingOrder="2"/>
    </xf>
    <xf numFmtId="0" fontId="5" fillId="0" borderId="36" xfId="0" applyFont="1" applyBorder="1" applyAlignment="1">
      <alignment horizontal="center" vertical="center" wrapText="1" readingOrder="2"/>
    </xf>
    <xf numFmtId="0" fontId="13" fillId="4" borderId="36" xfId="0" applyFont="1" applyFill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12" fillId="0" borderId="50" xfId="0" applyFont="1" applyBorder="1" applyAlignment="1">
      <alignment horizontal="center" vertical="center" wrapText="1" readingOrder="2"/>
    </xf>
    <xf numFmtId="0" fontId="4" fillId="0" borderId="22" xfId="0" applyFont="1" applyBorder="1" applyAlignment="1">
      <alignment horizontal="center" vertical="center" wrapText="1" readingOrder="2"/>
    </xf>
    <xf numFmtId="0" fontId="4" fillId="0" borderId="51" xfId="0" applyFont="1" applyBorder="1" applyAlignment="1">
      <alignment horizontal="center" vertical="center" wrapText="1" readingOrder="2"/>
    </xf>
    <xf numFmtId="0" fontId="12" fillId="0" borderId="34" xfId="0" applyFont="1" applyBorder="1" applyAlignment="1">
      <alignment horizontal="center" vertical="center" wrapText="1" shrinkToFit="1" readingOrder="2"/>
    </xf>
    <xf numFmtId="0" fontId="6" fillId="0" borderId="34" xfId="0" applyFont="1" applyBorder="1" applyAlignment="1">
      <alignment horizontal="center" vertical="center" wrapText="1" readingOrder="2"/>
    </xf>
    <xf numFmtId="0" fontId="6" fillId="0" borderId="35" xfId="0" applyFont="1" applyBorder="1" applyAlignment="1">
      <alignment horizontal="center" vertical="center" wrapText="1" readingOrder="2"/>
    </xf>
    <xf numFmtId="0" fontId="6" fillId="0" borderId="29" xfId="0" applyFont="1" applyBorder="1" applyAlignment="1">
      <alignment horizontal="center" vertical="center" wrapText="1" readingOrder="2"/>
    </xf>
    <xf numFmtId="0" fontId="6" fillId="0" borderId="60" xfId="0" applyFont="1" applyBorder="1" applyAlignment="1">
      <alignment horizontal="center" vertical="center" wrapText="1" readingOrder="2"/>
    </xf>
    <xf numFmtId="0" fontId="11" fillId="0" borderId="29" xfId="0" applyFont="1" applyBorder="1" applyAlignment="1">
      <alignment horizontal="center" vertical="center" wrapText="1" readingOrder="2"/>
    </xf>
    <xf numFmtId="0" fontId="11" fillId="0" borderId="60" xfId="0" applyFont="1" applyBorder="1" applyAlignment="1">
      <alignment horizontal="center" vertical="center" wrapText="1" readingOrder="2"/>
    </xf>
    <xf numFmtId="0" fontId="5" fillId="0" borderId="58" xfId="0" applyFont="1" applyBorder="1" applyAlignment="1">
      <alignment horizontal="center" vertical="center" wrapText="1" readingOrder="2"/>
    </xf>
    <xf numFmtId="0" fontId="5" fillId="0" borderId="75" xfId="0" applyFont="1" applyBorder="1" applyAlignment="1">
      <alignment horizontal="center" vertical="center" wrapText="1" readingOrder="2"/>
    </xf>
    <xf numFmtId="0" fontId="5" fillId="0" borderId="77" xfId="0" applyFont="1" applyBorder="1" applyAlignment="1">
      <alignment horizontal="center" vertical="center" wrapText="1" readingOrder="2"/>
    </xf>
    <xf numFmtId="0" fontId="43" fillId="0" borderId="36" xfId="0" applyFont="1" applyBorder="1" applyAlignment="1">
      <alignment horizontal="center" vertical="center" wrapText="1" readingOrder="2"/>
    </xf>
    <xf numFmtId="0" fontId="42" fillId="0" borderId="29" xfId="0" applyFont="1" applyBorder="1" applyAlignment="1">
      <alignment horizontal="center" vertical="center" wrapText="1" readingOrder="2"/>
    </xf>
    <xf numFmtId="0" fontId="42" fillId="0" borderId="60" xfId="0" applyFont="1" applyBorder="1" applyAlignment="1">
      <alignment horizontal="center" vertical="center" wrapText="1" readingOrder="2"/>
    </xf>
    <xf numFmtId="0" fontId="4" fillId="0" borderId="29" xfId="0" applyFont="1" applyBorder="1" applyAlignment="1">
      <alignment horizontal="center" vertical="center" wrapText="1" readingOrder="2"/>
    </xf>
    <xf numFmtId="0" fontId="4" fillId="0" borderId="60" xfId="0" applyFont="1" applyBorder="1" applyAlignment="1">
      <alignment horizontal="center" vertical="center" wrapText="1" readingOrder="2"/>
    </xf>
    <xf numFmtId="0" fontId="12" fillId="0" borderId="29" xfId="0" applyFont="1" applyBorder="1" applyAlignment="1">
      <alignment horizontal="center" vertical="center" readingOrder="2"/>
    </xf>
    <xf numFmtId="0" fontId="12" fillId="0" borderId="60" xfId="0" applyFont="1" applyBorder="1" applyAlignment="1">
      <alignment horizontal="center" vertical="center" readingOrder="2"/>
    </xf>
    <xf numFmtId="0" fontId="12" fillId="0" borderId="44" xfId="0" applyFont="1" applyBorder="1" applyAlignment="1">
      <alignment horizontal="center" vertical="center" wrapText="1" shrinkToFit="1" readingOrder="2"/>
    </xf>
    <xf numFmtId="0" fontId="12" fillId="0" borderId="39" xfId="0" applyFont="1" applyBorder="1" applyAlignment="1">
      <alignment horizontal="center" vertical="center" wrapText="1" shrinkToFit="1" readingOrder="2"/>
    </xf>
    <xf numFmtId="0" fontId="12" fillId="0" borderId="26" xfId="0" applyFont="1" applyBorder="1" applyAlignment="1">
      <alignment horizontal="center" vertical="center" wrapText="1" shrinkToFit="1" readingOrder="2"/>
    </xf>
    <xf numFmtId="0" fontId="12" fillId="0" borderId="44" xfId="0" applyFont="1" applyBorder="1" applyAlignment="1">
      <alignment horizontal="center" vertical="center" wrapText="1" readingOrder="2"/>
    </xf>
    <xf numFmtId="0" fontId="12" fillId="0" borderId="26" xfId="0" applyFont="1" applyBorder="1" applyAlignment="1">
      <alignment horizontal="center" vertical="center" wrapText="1" readingOrder="2"/>
    </xf>
    <xf numFmtId="0" fontId="21" fillId="4" borderId="36" xfId="0" applyFont="1" applyFill="1" applyBorder="1" applyAlignment="1">
      <alignment horizontal="center" vertical="center" readingOrder="2"/>
    </xf>
    <xf numFmtId="0" fontId="20" fillId="0" borderId="22" xfId="0" applyFont="1" applyBorder="1" applyAlignment="1">
      <alignment horizontal="center" vertical="center" readingOrder="2"/>
    </xf>
    <xf numFmtId="0" fontId="20" fillId="0" borderId="51" xfId="0" applyFont="1" applyBorder="1" applyAlignment="1">
      <alignment horizontal="center" vertical="center" readingOrder="2"/>
    </xf>
    <xf numFmtId="0" fontId="12" fillId="0" borderId="22" xfId="0" applyFont="1" applyBorder="1" applyAlignment="1">
      <alignment horizontal="center" vertical="center" textRotation="90" wrapText="1" readingOrder="2"/>
    </xf>
    <xf numFmtId="0" fontId="12" fillId="0" borderId="51" xfId="0" applyFont="1" applyBorder="1" applyAlignment="1">
      <alignment horizontal="center" vertical="center" textRotation="90" wrapText="1" readingOrder="2"/>
    </xf>
    <xf numFmtId="0" fontId="12" fillId="0" borderId="5" xfId="0" applyFont="1" applyBorder="1" applyAlignment="1">
      <alignment horizontal="center" vertical="center" wrapText="1" readingOrder="2"/>
    </xf>
    <xf numFmtId="49" fontId="12" fillId="0" borderId="22" xfId="0" applyNumberFormat="1" applyFont="1" applyBorder="1" applyAlignment="1">
      <alignment horizontal="center" vertical="center" wrapText="1" readingOrder="2"/>
    </xf>
    <xf numFmtId="49" fontId="12" fillId="0" borderId="51" xfId="0" applyNumberFormat="1" applyFont="1" applyBorder="1" applyAlignment="1">
      <alignment horizontal="center" vertical="center" wrapText="1" readingOrder="2"/>
    </xf>
    <xf numFmtId="0" fontId="12" fillId="0" borderId="22" xfId="0" applyFont="1" applyBorder="1" applyAlignment="1" applyProtection="1">
      <alignment horizontal="center" vertical="center" wrapText="1" readingOrder="2"/>
      <protection locked="0"/>
    </xf>
    <xf numFmtId="0" fontId="12" fillId="0" borderId="50" xfId="0" applyFont="1" applyBorder="1" applyAlignment="1" applyProtection="1">
      <alignment horizontal="center" vertical="center" wrapText="1" readingOrder="2"/>
      <protection locked="0"/>
    </xf>
    <xf numFmtId="0" fontId="12" fillId="0" borderId="47" xfId="0" applyFont="1" applyBorder="1" applyAlignment="1" applyProtection="1">
      <alignment horizontal="center" vertical="center" wrapText="1" readingOrder="2"/>
      <protection locked="0"/>
    </xf>
    <xf numFmtId="0" fontId="12" fillId="0" borderId="40" xfId="0" applyFont="1" applyBorder="1" applyAlignment="1" applyProtection="1">
      <alignment horizontal="center" vertical="center" wrapText="1" readingOrder="2"/>
      <protection locked="0"/>
    </xf>
    <xf numFmtId="0" fontId="12" fillId="0" borderId="49" xfId="0" applyFont="1" applyBorder="1" applyAlignment="1" applyProtection="1">
      <alignment horizontal="center" vertical="center" wrapText="1" readingOrder="2"/>
      <protection locked="0"/>
    </xf>
    <xf numFmtId="0" fontId="12" fillId="0" borderId="52" xfId="0" applyFont="1" applyBorder="1" applyAlignment="1" applyProtection="1">
      <alignment horizontal="center" vertical="center" wrapText="1" readingOrder="2"/>
      <protection locked="0"/>
    </xf>
    <xf numFmtId="0" fontId="12" fillId="0" borderId="36" xfId="0" applyFont="1" applyBorder="1" applyAlignment="1" applyProtection="1">
      <alignment horizontal="center" vertical="center" wrapText="1" readingOrder="2"/>
      <protection locked="0"/>
    </xf>
    <xf numFmtId="0" fontId="12" fillId="0" borderId="53" xfId="0" applyFont="1" applyBorder="1" applyAlignment="1" applyProtection="1">
      <alignment horizontal="center" vertical="center" wrapText="1" readingOrder="2"/>
      <protection locked="0"/>
    </xf>
    <xf numFmtId="0" fontId="54" fillId="0" borderId="0" xfId="0" applyFont="1" applyAlignment="1" applyProtection="1">
      <alignment horizontal="center" vertical="center" readingOrder="2"/>
      <protection locked="0"/>
    </xf>
    <xf numFmtId="0" fontId="32" fillId="0" borderId="8" xfId="0" applyFont="1" applyBorder="1" applyAlignment="1" applyProtection="1">
      <alignment horizontal="center" vertical="center" readingOrder="2"/>
      <protection locked="0"/>
    </xf>
    <xf numFmtId="0" fontId="32" fillId="0" borderId="71" xfId="0" applyFont="1" applyBorder="1" applyAlignment="1" applyProtection="1">
      <alignment horizontal="center" vertical="center" readingOrder="2"/>
      <protection locked="0"/>
    </xf>
    <xf numFmtId="0" fontId="32" fillId="0" borderId="48" xfId="0" applyFont="1" applyBorder="1" applyAlignment="1" applyProtection="1">
      <alignment horizontal="center" vertical="center" readingOrder="2"/>
      <protection locked="0"/>
    </xf>
    <xf numFmtId="0" fontId="5" fillId="0" borderId="47" xfId="0" applyFont="1" applyBorder="1" applyAlignment="1" applyProtection="1">
      <alignment horizontal="center" vertical="center" wrapText="1" readingOrder="2"/>
      <protection locked="0"/>
    </xf>
    <xf numFmtId="0" fontId="5" fillId="0" borderId="52" xfId="0" applyFont="1" applyBorder="1" applyAlignment="1" applyProtection="1">
      <alignment horizontal="center" vertical="center" wrapText="1" readingOrder="2"/>
      <protection locked="0"/>
    </xf>
    <xf numFmtId="0" fontId="32" fillId="0" borderId="0" xfId="0" applyFont="1" applyAlignment="1" applyProtection="1">
      <alignment horizontal="center" vertical="center" readingOrder="2"/>
      <protection locked="0"/>
    </xf>
    <xf numFmtId="0" fontId="37" fillId="0" borderId="0" xfId="0" applyFont="1" applyAlignment="1" applyProtection="1">
      <alignment horizontal="center" vertical="center" readingOrder="2"/>
      <protection locked="0"/>
    </xf>
    <xf numFmtId="0" fontId="32" fillId="0" borderId="10" xfId="0" applyFont="1" applyBorder="1" applyAlignment="1" applyProtection="1">
      <alignment horizontal="center" vertical="center" readingOrder="2"/>
      <protection locked="0"/>
    </xf>
    <xf numFmtId="0" fontId="32" fillId="0" borderId="68" xfId="0" applyFont="1" applyBorder="1" applyAlignment="1" applyProtection="1">
      <alignment horizontal="center" vertical="center" readingOrder="2"/>
      <protection locked="0"/>
    </xf>
    <xf numFmtId="0" fontId="32" fillId="0" borderId="61" xfId="0" applyFont="1" applyBorder="1" applyAlignment="1" applyProtection="1">
      <alignment horizontal="center" vertical="center" readingOrder="2"/>
      <protection locked="0"/>
    </xf>
    <xf numFmtId="0" fontId="32" fillId="0" borderId="58" xfId="0" applyFont="1" applyBorder="1" applyAlignment="1" applyProtection="1">
      <alignment horizontal="center" vertical="center" readingOrder="2"/>
      <protection locked="0"/>
    </xf>
    <xf numFmtId="0" fontId="32" fillId="0" borderId="75" xfId="0" applyFont="1" applyBorder="1" applyAlignment="1" applyProtection="1">
      <alignment horizontal="center" vertical="center" readingOrder="2"/>
      <protection locked="0"/>
    </xf>
    <xf numFmtId="0" fontId="32" fillId="0" borderId="77" xfId="0" applyFont="1" applyBorder="1" applyAlignment="1" applyProtection="1">
      <alignment horizontal="center" vertical="center" readingOrder="2"/>
      <protection locked="0"/>
    </xf>
    <xf numFmtId="0" fontId="32" fillId="0" borderId="33" xfId="0" applyFont="1" applyBorder="1" applyAlignment="1" applyProtection="1">
      <alignment horizontal="center" vertical="center" readingOrder="2"/>
      <protection locked="0"/>
    </xf>
    <xf numFmtId="0" fontId="32" fillId="0" borderId="59" xfId="0" applyFont="1" applyBorder="1" applyAlignment="1" applyProtection="1">
      <alignment horizontal="center" vertical="center" readingOrder="2"/>
      <protection locked="0"/>
    </xf>
    <xf numFmtId="0" fontId="32" fillId="0" borderId="72" xfId="0" applyFont="1" applyBorder="1" applyAlignment="1" applyProtection="1">
      <alignment horizontal="center" vertical="center" readingOrder="2"/>
      <protection locked="0"/>
    </xf>
    <xf numFmtId="0" fontId="32" fillId="0" borderId="73" xfId="0" applyFont="1" applyBorder="1" applyAlignment="1" applyProtection="1">
      <alignment horizontal="center" vertical="center" readingOrder="2"/>
      <protection locked="0"/>
    </xf>
    <xf numFmtId="0" fontId="31" fillId="0" borderId="44" xfId="0" applyFont="1" applyBorder="1" applyAlignment="1" applyProtection="1">
      <alignment horizontal="center" vertical="center" readingOrder="1"/>
      <protection locked="0"/>
    </xf>
    <xf numFmtId="0" fontId="31" fillId="0" borderId="39" xfId="0" applyFont="1" applyBorder="1" applyAlignment="1" applyProtection="1">
      <alignment horizontal="center" vertical="center" readingOrder="1"/>
      <protection locked="0"/>
    </xf>
    <xf numFmtId="0" fontId="31" fillId="0" borderId="26" xfId="0" applyFont="1" applyBorder="1" applyAlignment="1" applyProtection="1">
      <alignment horizontal="center" vertical="center" readingOrder="1"/>
      <protection locked="0"/>
    </xf>
    <xf numFmtId="0" fontId="31" fillId="0" borderId="44" xfId="0" applyFont="1" applyBorder="1" applyAlignment="1" applyProtection="1">
      <alignment horizontal="center" vertical="center" readingOrder="2"/>
      <protection locked="0"/>
    </xf>
    <xf numFmtId="0" fontId="31" fillId="0" borderId="39" xfId="0" applyFont="1" applyBorder="1" applyAlignment="1" applyProtection="1">
      <alignment horizontal="center" vertical="center" readingOrder="2"/>
      <protection locked="0"/>
    </xf>
    <xf numFmtId="0" fontId="31" fillId="0" borderId="34" xfId="0" applyFont="1" applyBorder="1" applyAlignment="1" applyProtection="1">
      <alignment horizontal="center" vertical="center" readingOrder="2"/>
      <protection locked="0"/>
    </xf>
    <xf numFmtId="0" fontId="31" fillId="0" borderId="2" xfId="0" applyFont="1" applyBorder="1" applyAlignment="1" applyProtection="1">
      <alignment horizontal="center" vertical="center" readingOrder="2"/>
      <protection locked="0"/>
    </xf>
    <xf numFmtId="0" fontId="31" fillId="0" borderId="35" xfId="0" applyFont="1" applyBorder="1" applyAlignment="1" applyProtection="1">
      <alignment horizontal="center" vertical="center" readingOrder="2"/>
      <protection locked="0"/>
    </xf>
    <xf numFmtId="0" fontId="31" fillId="0" borderId="36" xfId="0" applyFont="1" applyBorder="1" applyAlignment="1" applyProtection="1">
      <alignment horizontal="center" vertical="center" readingOrder="2"/>
      <protection locked="0"/>
    </xf>
    <xf numFmtId="0" fontId="31" fillId="0" borderId="0" xfId="0" applyFont="1" applyBorder="1" applyAlignment="1" applyProtection="1">
      <alignment horizontal="center" vertical="center" readingOrder="2"/>
      <protection locked="0"/>
    </xf>
    <xf numFmtId="0" fontId="12" fillId="0" borderId="58" xfId="0" applyFont="1" applyBorder="1" applyAlignment="1" applyProtection="1">
      <alignment horizontal="center" vertical="center" textRotation="90" wrapText="1" readingOrder="2"/>
      <protection locked="0"/>
    </xf>
    <xf numFmtId="0" fontId="12" fillId="0" borderId="59" xfId="0" applyFont="1" applyBorder="1" applyAlignment="1" applyProtection="1">
      <alignment horizontal="center" vertical="center" textRotation="90" wrapText="1" readingOrder="2"/>
      <protection locked="0"/>
    </xf>
    <xf numFmtId="0" fontId="5" fillId="0" borderId="29" xfId="0" applyFont="1" applyBorder="1" applyAlignment="1" applyProtection="1">
      <alignment horizontal="center" vertical="center" wrapText="1" readingOrder="2"/>
      <protection locked="0"/>
    </xf>
    <xf numFmtId="0" fontId="5" fillId="0" borderId="60" xfId="0" applyFont="1" applyBorder="1" applyAlignment="1" applyProtection="1">
      <alignment horizontal="center" vertical="center" wrapText="1" readingOrder="2"/>
      <protection locked="0"/>
    </xf>
    <xf numFmtId="0" fontId="5" fillId="0" borderId="22" xfId="0" applyFont="1" applyBorder="1" applyAlignment="1" applyProtection="1">
      <alignment horizontal="center" vertical="center" wrapText="1" readingOrder="2"/>
      <protection locked="0"/>
    </xf>
    <xf numFmtId="0" fontId="5" fillId="0" borderId="51" xfId="0" applyFont="1" applyBorder="1" applyAlignment="1" applyProtection="1">
      <alignment horizontal="center" vertical="center" wrapText="1" readingOrder="2"/>
      <protection locked="0"/>
    </xf>
    <xf numFmtId="0" fontId="12" fillId="0" borderId="29" xfId="0" applyFont="1" applyBorder="1" applyAlignment="1" applyProtection="1">
      <alignment horizontal="center" vertical="center" wrapText="1" readingOrder="2"/>
      <protection locked="0"/>
    </xf>
    <xf numFmtId="0" fontId="12" fillId="0" borderId="60" xfId="0" applyFont="1" applyBorder="1" applyAlignment="1" applyProtection="1">
      <alignment horizontal="center" vertical="center" wrapText="1" readingOrder="2"/>
      <protection locked="0"/>
    </xf>
    <xf numFmtId="0" fontId="31" fillId="0" borderId="44" xfId="0" applyFont="1" applyBorder="1" applyAlignment="1" applyProtection="1">
      <alignment horizontal="center" vertical="center"/>
      <protection locked="0"/>
    </xf>
    <xf numFmtId="0" fontId="31" fillId="0" borderId="39" xfId="0" applyFont="1" applyBorder="1" applyAlignment="1" applyProtection="1">
      <alignment horizontal="center" vertical="center"/>
      <protection locked="0"/>
    </xf>
    <xf numFmtId="0" fontId="31" fillId="0" borderId="26" xfId="0" applyFont="1" applyBorder="1" applyAlignment="1" applyProtection="1">
      <alignment horizontal="center" vertical="center"/>
      <protection locked="0"/>
    </xf>
    <xf numFmtId="0" fontId="31" fillId="0" borderId="26" xfId="0" applyFont="1" applyBorder="1" applyAlignment="1" applyProtection="1">
      <alignment horizontal="center" vertical="center" readingOrder="2"/>
      <protection locked="0"/>
    </xf>
    <xf numFmtId="0" fontId="21" fillId="0" borderId="44" xfId="0" applyFont="1" applyBorder="1" applyAlignment="1" applyProtection="1">
      <alignment horizontal="center" vertical="center" readingOrder="2"/>
      <protection locked="0"/>
    </xf>
    <xf numFmtId="0" fontId="21" fillId="0" borderId="26" xfId="0" applyFont="1" applyBorder="1" applyAlignment="1" applyProtection="1">
      <alignment horizontal="center" vertical="center" readingOrder="2"/>
      <protection locked="0"/>
    </xf>
    <xf numFmtId="49" fontId="12" fillId="0" borderId="34" xfId="0" applyNumberFormat="1" applyFont="1" applyBorder="1" applyAlignment="1" applyProtection="1">
      <alignment horizontal="center" vertical="center" wrapText="1" readingOrder="2"/>
      <protection locked="0"/>
    </xf>
    <xf numFmtId="49" fontId="12" fillId="0" borderId="35" xfId="0" applyNumberFormat="1" applyFont="1" applyBorder="1" applyAlignment="1" applyProtection="1">
      <alignment horizontal="center" vertical="center" wrapText="1" readingOrder="2"/>
      <protection locked="0"/>
    </xf>
    <xf numFmtId="0" fontId="78" fillId="0" borderId="47" xfId="0" applyFont="1" applyBorder="1" applyAlignment="1" applyProtection="1">
      <alignment horizontal="center" vertical="center" shrinkToFit="1" readingOrder="2"/>
      <protection locked="0"/>
    </xf>
    <xf numFmtId="0" fontId="79" fillId="0" borderId="40" xfId="0" applyFont="1" applyBorder="1" applyAlignment="1" applyProtection="1">
      <alignment horizontal="center" vertical="center" shrinkToFit="1" readingOrder="2"/>
      <protection locked="0"/>
    </xf>
    <xf numFmtId="0" fontId="79" fillId="0" borderId="49" xfId="0" applyFont="1" applyBorder="1" applyAlignment="1" applyProtection="1">
      <alignment horizontal="center" vertical="center" shrinkToFit="1" readingOrder="2"/>
      <protection locked="0"/>
    </xf>
    <xf numFmtId="0" fontId="79" fillId="0" borderId="52" xfId="0" applyFont="1" applyBorder="1" applyAlignment="1" applyProtection="1">
      <alignment horizontal="center" vertical="center" shrinkToFit="1" readingOrder="2"/>
      <protection locked="0"/>
    </xf>
    <xf numFmtId="0" fontId="79" fillId="0" borderId="36" xfId="0" applyFont="1" applyBorder="1" applyAlignment="1" applyProtection="1">
      <alignment horizontal="center" vertical="center" shrinkToFit="1" readingOrder="2"/>
      <protection locked="0"/>
    </xf>
    <xf numFmtId="0" fontId="79" fillId="0" borderId="53" xfId="0" applyFont="1" applyBorder="1" applyAlignment="1" applyProtection="1">
      <alignment horizontal="center" vertical="center" shrinkToFit="1" readingOrder="2"/>
      <protection locked="0"/>
    </xf>
    <xf numFmtId="0" fontId="32" fillId="0" borderId="47" xfId="0" applyFont="1" applyBorder="1" applyAlignment="1" applyProtection="1">
      <alignment horizontal="center" vertical="center" shrinkToFit="1" readingOrder="2"/>
      <protection locked="0"/>
    </xf>
    <xf numFmtId="0" fontId="32" fillId="0" borderId="40" xfId="0" applyFont="1" applyBorder="1" applyAlignment="1" applyProtection="1">
      <alignment horizontal="center" vertical="center" shrinkToFit="1" readingOrder="2"/>
      <protection locked="0"/>
    </xf>
    <xf numFmtId="0" fontId="32" fillId="0" borderId="49" xfId="0" applyFont="1" applyBorder="1" applyAlignment="1" applyProtection="1">
      <alignment horizontal="center" vertical="center" shrinkToFit="1" readingOrder="2"/>
      <protection locked="0"/>
    </xf>
    <xf numFmtId="0" fontId="32" fillId="0" borderId="52" xfId="0" applyFont="1" applyBorder="1" applyAlignment="1" applyProtection="1">
      <alignment horizontal="center" vertical="center" shrinkToFit="1" readingOrder="2"/>
      <protection locked="0"/>
    </xf>
    <xf numFmtId="0" fontId="32" fillId="0" borderId="36" xfId="0" applyFont="1" applyBorder="1" applyAlignment="1" applyProtection="1">
      <alignment horizontal="center" vertical="center" shrinkToFit="1" readingOrder="2"/>
      <protection locked="0"/>
    </xf>
    <xf numFmtId="0" fontId="32" fillId="0" borderId="53" xfId="0" applyFont="1" applyBorder="1" applyAlignment="1" applyProtection="1">
      <alignment horizontal="center" vertical="center" shrinkToFit="1" readingOrder="2"/>
      <protection locked="0"/>
    </xf>
    <xf numFmtId="0" fontId="60" fillId="0" borderId="0" xfId="0" applyFont="1" applyAlignment="1" applyProtection="1">
      <alignment horizontal="center" vertical="center" readingOrder="2"/>
    </xf>
    <xf numFmtId="0" fontId="31" fillId="0" borderId="54" xfId="0" applyFont="1" applyBorder="1" applyAlignment="1" applyProtection="1">
      <alignment horizontal="center" vertical="center" readingOrder="2"/>
      <protection locked="0"/>
    </xf>
    <xf numFmtId="0" fontId="31" fillId="0" borderId="12" xfId="0" applyFont="1" applyBorder="1" applyAlignment="1" applyProtection="1">
      <alignment horizontal="center" vertical="center" readingOrder="2"/>
      <protection locked="0"/>
    </xf>
    <xf numFmtId="0" fontId="31" fillId="0" borderId="19" xfId="0" applyFont="1" applyBorder="1" applyAlignment="1" applyProtection="1">
      <alignment horizontal="center" vertical="center" readingOrder="2"/>
      <protection locked="0"/>
    </xf>
    <xf numFmtId="0" fontId="31" fillId="0" borderId="46" xfId="0" applyFont="1" applyBorder="1" applyAlignment="1" applyProtection="1">
      <alignment horizontal="center" vertical="center" readingOrder="2"/>
      <protection locked="0"/>
    </xf>
    <xf numFmtId="0" fontId="31" fillId="0" borderId="18" xfId="0" applyFont="1" applyBorder="1" applyAlignment="1" applyProtection="1">
      <alignment horizontal="center" vertical="center" readingOrder="2"/>
      <protection locked="0"/>
    </xf>
    <xf numFmtId="0" fontId="31" fillId="0" borderId="21" xfId="0" applyFont="1" applyBorder="1" applyAlignment="1" applyProtection="1">
      <alignment horizontal="center" vertical="center" readingOrder="2"/>
      <protection locked="0"/>
    </xf>
    <xf numFmtId="0" fontId="6" fillId="0" borderId="62" xfId="0" applyFont="1" applyBorder="1" applyAlignment="1" applyProtection="1">
      <alignment horizontal="center" vertical="center" textRotation="90" readingOrder="2"/>
      <protection locked="0"/>
    </xf>
    <xf numFmtId="0" fontId="6" fillId="0" borderId="74" xfId="0" applyFont="1" applyBorder="1" applyAlignment="1" applyProtection="1">
      <alignment horizontal="center" vertical="center" textRotation="90" readingOrder="2"/>
      <protection locked="0"/>
    </xf>
    <xf numFmtId="0" fontId="11" fillId="0" borderId="34" xfId="0" applyFont="1" applyBorder="1" applyAlignment="1" applyProtection="1">
      <alignment horizontal="center" vertical="center" wrapText="1" shrinkToFit="1" readingOrder="2"/>
      <protection locked="0"/>
    </xf>
    <xf numFmtId="0" fontId="44" fillId="0" borderId="2" xfId="0" applyFont="1" applyBorder="1" applyAlignment="1" applyProtection="1">
      <alignment horizontal="center" vertical="center" readingOrder="2"/>
      <protection locked="0"/>
    </xf>
    <xf numFmtId="0" fontId="44" fillId="0" borderId="35" xfId="0" applyFont="1" applyBorder="1" applyAlignment="1" applyProtection="1">
      <alignment horizontal="center" vertical="center" readingOrder="2"/>
      <protection locked="0"/>
    </xf>
    <xf numFmtId="0" fontId="11" fillId="0" borderId="29" xfId="0" applyFont="1" applyBorder="1" applyAlignment="1" applyProtection="1">
      <alignment horizontal="center" vertical="center" wrapText="1" readingOrder="2"/>
      <protection locked="0"/>
    </xf>
    <xf numFmtId="0" fontId="11" fillId="0" borderId="60" xfId="0" applyFont="1" applyBorder="1" applyAlignment="1" applyProtection="1">
      <alignment horizontal="center" vertical="center" wrapText="1" readingOrder="2"/>
      <protection locked="0"/>
    </xf>
    <xf numFmtId="0" fontId="6" fillId="0" borderId="12" xfId="0" applyFont="1" applyBorder="1" applyAlignment="1" applyProtection="1">
      <alignment horizontal="center" vertical="center" wrapText="1" readingOrder="2"/>
      <protection locked="0"/>
    </xf>
    <xf numFmtId="0" fontId="6" fillId="0" borderId="18" xfId="0" applyFont="1" applyBorder="1" applyAlignment="1" applyProtection="1">
      <alignment horizontal="center" vertical="center" wrapText="1" readingOrder="2"/>
      <protection locked="0"/>
    </xf>
    <xf numFmtId="0" fontId="79" fillId="0" borderId="47" xfId="0" applyFont="1" applyBorder="1" applyAlignment="1">
      <alignment horizontal="center" vertical="center" readingOrder="2"/>
    </xf>
    <xf numFmtId="0" fontId="79" fillId="0" borderId="40" xfId="0" applyFont="1" applyBorder="1" applyAlignment="1">
      <alignment horizontal="center" vertical="center" readingOrder="2"/>
    </xf>
    <xf numFmtId="0" fontId="79" fillId="0" borderId="49" xfId="0" applyFont="1" applyBorder="1" applyAlignment="1">
      <alignment horizontal="center" vertical="center" readingOrder="2"/>
    </xf>
    <xf numFmtId="0" fontId="79" fillId="0" borderId="52" xfId="0" applyFont="1" applyBorder="1" applyAlignment="1">
      <alignment horizontal="center" vertical="center" readingOrder="2"/>
    </xf>
    <xf numFmtId="0" fontId="79" fillId="0" borderId="36" xfId="0" applyFont="1" applyBorder="1" applyAlignment="1">
      <alignment horizontal="center" vertical="center" readingOrder="2"/>
    </xf>
    <xf numFmtId="0" fontId="79" fillId="0" borderId="53" xfId="0" applyFont="1" applyBorder="1" applyAlignment="1">
      <alignment horizontal="center" vertical="center" readingOrder="2"/>
    </xf>
    <xf numFmtId="0" fontId="32" fillId="0" borderId="39" xfId="0" applyFont="1" applyBorder="1" applyAlignment="1" applyProtection="1">
      <alignment horizontal="center" vertical="center" readingOrder="2"/>
      <protection locked="0"/>
    </xf>
    <xf numFmtId="0" fontId="32" fillId="0" borderId="26" xfId="0" applyFont="1" applyBorder="1" applyAlignment="1" applyProtection="1">
      <alignment horizontal="center" vertical="center" readingOrder="2"/>
      <protection locked="0"/>
    </xf>
    <xf numFmtId="0" fontId="5" fillId="0" borderId="57" xfId="0" applyFont="1" applyBorder="1" applyAlignment="1" applyProtection="1">
      <alignment horizontal="center" vertical="center" wrapText="1" readingOrder="2"/>
      <protection locked="0"/>
    </xf>
    <xf numFmtId="0" fontId="5" fillId="0" borderId="65" xfId="0" applyFont="1" applyBorder="1" applyAlignment="1" applyProtection="1">
      <alignment horizontal="center" vertical="center" wrapText="1" readingOrder="2"/>
      <protection locked="0"/>
    </xf>
    <xf numFmtId="49" fontId="5" fillId="0" borderId="22" xfId="0" applyNumberFormat="1" applyFont="1" applyBorder="1" applyAlignment="1" applyProtection="1">
      <alignment horizontal="center" vertical="center" wrapText="1" readingOrder="2"/>
      <protection locked="0"/>
    </xf>
    <xf numFmtId="49" fontId="5" fillId="0" borderId="51" xfId="0" applyNumberFormat="1" applyFont="1" applyBorder="1" applyAlignment="1" applyProtection="1">
      <alignment horizontal="center" vertical="center" wrapText="1" readingOrder="2"/>
      <protection locked="0"/>
    </xf>
    <xf numFmtId="0" fontId="32" fillId="0" borderId="15" xfId="0" applyFont="1" applyBorder="1" applyAlignment="1" applyProtection="1">
      <alignment horizontal="center" vertical="center" readingOrder="2"/>
      <protection locked="0"/>
    </xf>
    <xf numFmtId="0" fontId="32" fillId="0" borderId="17" xfId="0" applyFont="1" applyBorder="1" applyAlignment="1" applyProtection="1">
      <alignment horizontal="center" vertical="center" readingOrder="2"/>
      <protection locked="0"/>
    </xf>
    <xf numFmtId="0" fontId="32" fillId="0" borderId="13" xfId="0" applyFont="1" applyBorder="1" applyAlignment="1" applyProtection="1">
      <alignment horizontal="center" vertical="center" readingOrder="2"/>
      <protection locked="0"/>
    </xf>
    <xf numFmtId="0" fontId="6" fillId="0" borderId="29" xfId="0" applyFont="1" applyBorder="1" applyAlignment="1" applyProtection="1">
      <alignment horizontal="center" vertical="center" wrapText="1" readingOrder="2"/>
      <protection locked="0"/>
    </xf>
    <xf numFmtId="0" fontId="6" fillId="0" borderId="60" xfId="0" applyFont="1" applyBorder="1" applyAlignment="1" applyProtection="1">
      <alignment horizontal="center" vertical="center" wrapText="1" readingOrder="2"/>
      <protection locked="0"/>
    </xf>
    <xf numFmtId="0" fontId="12" fillId="0" borderId="51" xfId="0" applyFont="1" applyBorder="1" applyAlignment="1" applyProtection="1">
      <alignment horizontal="center" vertical="center" wrapText="1" readingOrder="2"/>
      <protection locked="0"/>
    </xf>
    <xf numFmtId="0" fontId="6" fillId="0" borderId="63" xfId="0" applyFont="1" applyBorder="1" applyAlignment="1" applyProtection="1">
      <alignment horizontal="center" vertical="center" wrapText="1" readingOrder="2"/>
      <protection locked="0"/>
    </xf>
    <xf numFmtId="0" fontId="6" fillId="0" borderId="56" xfId="0" applyFont="1" applyBorder="1" applyAlignment="1" applyProtection="1">
      <alignment horizontal="center" vertical="center" wrapText="1" readingOrder="2"/>
      <protection locked="0"/>
    </xf>
    <xf numFmtId="0" fontId="6" fillId="0" borderId="64" xfId="0" applyFont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0" borderId="75" xfId="0" applyFont="1" applyBorder="1" applyAlignment="1" applyProtection="1">
      <alignment horizontal="center" vertical="center" wrapText="1" readingOrder="2"/>
      <protection locked="0"/>
    </xf>
    <xf numFmtId="0" fontId="6" fillId="0" borderId="17" xfId="0" applyFont="1" applyBorder="1" applyAlignment="1" applyProtection="1">
      <alignment horizontal="center" vertical="center" wrapText="1" readingOrder="2"/>
      <protection locked="0"/>
    </xf>
    <xf numFmtId="0" fontId="42" fillId="0" borderId="29" xfId="0" applyFont="1" applyBorder="1" applyAlignment="1" applyProtection="1">
      <alignment horizontal="center" vertical="center" wrapText="1" readingOrder="2"/>
      <protection locked="0"/>
    </xf>
    <xf numFmtId="0" fontId="42" fillId="0" borderId="60" xfId="0" applyFont="1" applyBorder="1" applyAlignment="1" applyProtection="1">
      <alignment horizontal="center" vertical="center" wrapText="1" readingOrder="2"/>
      <protection locked="0"/>
    </xf>
    <xf numFmtId="0" fontId="12" fillId="0" borderId="29" xfId="0" applyFont="1" applyBorder="1" applyAlignment="1" applyProtection="1">
      <alignment horizontal="center" vertical="center" readingOrder="2"/>
      <protection locked="0"/>
    </xf>
    <xf numFmtId="0" fontId="12" fillId="0" borderId="60" xfId="0" applyFont="1" applyBorder="1" applyAlignment="1" applyProtection="1">
      <alignment horizontal="center" vertical="center" readingOrder="2"/>
      <protection locked="0"/>
    </xf>
    <xf numFmtId="0" fontId="32" fillId="0" borderId="16" xfId="0" applyFont="1" applyBorder="1" applyAlignment="1" applyProtection="1">
      <alignment horizontal="center" vertical="center" readingOrder="2"/>
      <protection locked="0"/>
    </xf>
    <xf numFmtId="0" fontId="5" fillId="0" borderId="56" xfId="0" applyFont="1" applyBorder="1" applyAlignment="1" applyProtection="1">
      <alignment horizontal="center" vertical="center" wrapText="1" readingOrder="2"/>
      <protection locked="0"/>
    </xf>
    <xf numFmtId="0" fontId="5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34" xfId="0" applyFont="1" applyBorder="1" applyAlignment="1" applyProtection="1">
      <alignment horizontal="center" vertical="center" wrapText="1" shrinkToFit="1" readingOrder="2"/>
      <protection locked="0"/>
    </xf>
    <xf numFmtId="0" fontId="20" fillId="0" borderId="2" xfId="0" applyFont="1" applyBorder="1" applyAlignment="1" applyProtection="1">
      <alignment horizontal="center" vertical="center" readingOrder="2"/>
      <protection locked="0"/>
    </xf>
    <xf numFmtId="0" fontId="20" fillId="0" borderId="35" xfId="0" applyFont="1" applyBorder="1" applyAlignment="1" applyProtection="1">
      <alignment horizontal="center" vertical="center" readingOrder="2"/>
      <protection locked="0"/>
    </xf>
    <xf numFmtId="0" fontId="6" fillId="0" borderId="34" xfId="0" applyFont="1" applyBorder="1" applyAlignment="1" applyProtection="1">
      <alignment horizontal="center" vertical="center" wrapText="1" readingOrder="2"/>
      <protection locked="0"/>
    </xf>
    <xf numFmtId="0" fontId="6" fillId="0" borderId="35" xfId="0" applyFont="1" applyBorder="1" applyAlignment="1" applyProtection="1">
      <alignment horizontal="center" vertical="center" wrapText="1" readingOrder="2"/>
      <protection locked="0"/>
    </xf>
    <xf numFmtId="0" fontId="4" fillId="0" borderId="22" xfId="0" applyFont="1" applyBorder="1" applyAlignment="1" applyProtection="1">
      <alignment horizontal="center" vertical="center" wrapText="1" readingOrder="2"/>
      <protection locked="0"/>
    </xf>
    <xf numFmtId="0" fontId="4" fillId="0" borderId="51" xfId="0" applyFont="1" applyBorder="1" applyAlignment="1" applyProtection="1">
      <alignment horizontal="center" vertical="center" wrapText="1" readingOrder="2"/>
      <protection locked="0"/>
    </xf>
    <xf numFmtId="0" fontId="78" fillId="0" borderId="22" xfId="0" applyFont="1" applyBorder="1" applyAlignment="1" applyProtection="1">
      <alignment horizontal="center" vertical="center" shrinkToFit="1" readingOrder="2"/>
      <protection locked="0"/>
    </xf>
    <xf numFmtId="0" fontId="79" fillId="0" borderId="51" xfId="0" applyFont="1" applyBorder="1" applyAlignment="1" applyProtection="1">
      <alignment horizontal="center" vertical="center" shrinkToFit="1" readingOrder="2"/>
      <protection locked="0"/>
    </xf>
    <xf numFmtId="49" fontId="32" fillId="0" borderId="0" xfId="0" applyNumberFormat="1" applyFont="1" applyAlignment="1" applyProtection="1">
      <alignment horizontal="center" vertical="center" readingOrder="2"/>
      <protection locked="0"/>
    </xf>
    <xf numFmtId="0" fontId="79" fillId="0" borderId="44" xfId="0" applyFont="1" applyBorder="1" applyAlignment="1">
      <alignment horizontal="center" vertical="center" readingOrder="2"/>
    </xf>
    <xf numFmtId="0" fontId="79" fillId="0" borderId="39" xfId="0" applyFont="1" applyBorder="1" applyAlignment="1">
      <alignment horizontal="center" vertical="center" readingOrder="2"/>
    </xf>
    <xf numFmtId="0" fontId="79" fillId="0" borderId="26" xfId="0" applyFont="1" applyBorder="1" applyAlignment="1">
      <alignment horizontal="center" vertical="center" readingOrder="2"/>
    </xf>
    <xf numFmtId="0" fontId="32" fillId="0" borderId="0" xfId="0" applyFont="1" applyAlignment="1" applyProtection="1">
      <alignment horizontal="right" vertical="center" readingOrder="2"/>
      <protection locked="0"/>
    </xf>
    <xf numFmtId="0" fontId="6" fillId="0" borderId="12" xfId="0" applyFont="1" applyBorder="1" applyAlignment="1" applyProtection="1">
      <alignment horizontal="center" vertical="center" wrapText="1" shrinkToFit="1" readingOrder="2"/>
      <protection locked="0"/>
    </xf>
    <xf numFmtId="0" fontId="4" fillId="0" borderId="29" xfId="0" applyFont="1" applyBorder="1" applyAlignment="1" applyProtection="1">
      <alignment horizontal="center" vertical="center" wrapText="1" readingOrder="2"/>
      <protection locked="0"/>
    </xf>
    <xf numFmtId="0" fontId="4" fillId="0" borderId="60" xfId="0" applyFont="1" applyBorder="1" applyAlignment="1" applyProtection="1">
      <alignment horizontal="center" vertical="center" wrapText="1" readingOrder="2"/>
      <protection locked="0"/>
    </xf>
    <xf numFmtId="0" fontId="5" fillId="0" borderId="58" xfId="0" applyFont="1" applyBorder="1" applyAlignment="1" applyProtection="1">
      <alignment horizontal="center" vertical="center" wrapText="1" readingOrder="2"/>
      <protection locked="0"/>
    </xf>
    <xf numFmtId="0" fontId="5" fillId="0" borderId="75" xfId="0" applyFont="1" applyBorder="1" applyAlignment="1" applyProtection="1">
      <alignment horizontal="center" vertical="center" wrapText="1" readingOrder="2"/>
      <protection locked="0"/>
    </xf>
    <xf numFmtId="0" fontId="5" fillId="0" borderId="7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 applyProtection="1">
      <alignment horizontal="center" vertical="center" wrapText="1" readingOrder="2"/>
      <protection locked="0"/>
    </xf>
    <xf numFmtId="0" fontId="32" fillId="0" borderId="14" xfId="0" applyFont="1" applyBorder="1" applyAlignment="1" applyProtection="1">
      <alignment horizontal="center" vertical="center" readingOrder="2"/>
      <protection locked="0"/>
    </xf>
    <xf numFmtId="0" fontId="53" fillId="0" borderId="47" xfId="0" applyFont="1" applyBorder="1" applyAlignment="1" applyProtection="1">
      <alignment horizontal="center" vertical="center" wrapText="1" readingOrder="2"/>
      <protection locked="0"/>
    </xf>
    <xf numFmtId="0" fontId="51" fillId="0" borderId="40" xfId="0" applyFont="1" applyBorder="1" applyAlignment="1" applyProtection="1">
      <alignment horizontal="center" vertical="center" wrapText="1" readingOrder="2"/>
      <protection locked="0"/>
    </xf>
    <xf numFmtId="0" fontId="51" fillId="0" borderId="49" xfId="0" applyFont="1" applyBorder="1" applyAlignment="1" applyProtection="1">
      <alignment horizontal="center" vertical="center" wrapText="1" readingOrder="2"/>
      <protection locked="0"/>
    </xf>
    <xf numFmtId="0" fontId="51" fillId="0" borderId="11" xfId="0" applyFont="1" applyBorder="1" applyAlignment="1" applyProtection="1">
      <alignment horizontal="center" vertical="center" wrapText="1" readingOrder="2"/>
      <protection locked="0"/>
    </xf>
    <xf numFmtId="0" fontId="51" fillId="0" borderId="0" xfId="0" applyFont="1" applyAlignment="1" applyProtection="1">
      <alignment horizontal="center" vertical="center" wrapText="1" readingOrder="2"/>
      <protection locked="0"/>
    </xf>
    <xf numFmtId="0" fontId="51" fillId="0" borderId="55" xfId="0" applyFont="1" applyBorder="1" applyAlignment="1" applyProtection="1">
      <alignment horizontal="center" vertical="center" wrapText="1" readingOrder="2"/>
      <protection locked="0"/>
    </xf>
    <xf numFmtId="0" fontId="51" fillId="0" borderId="52" xfId="0" applyFont="1" applyBorder="1" applyAlignment="1" applyProtection="1">
      <alignment horizontal="center" vertical="center" wrapText="1" readingOrder="2"/>
      <protection locked="0"/>
    </xf>
    <xf numFmtId="0" fontId="51" fillId="0" borderId="36" xfId="0" applyFont="1" applyBorder="1" applyAlignment="1" applyProtection="1">
      <alignment horizontal="center" vertical="center" wrapText="1" readingOrder="2"/>
      <protection locked="0"/>
    </xf>
    <xf numFmtId="0" fontId="51" fillId="0" borderId="53" xfId="0" applyFont="1" applyBorder="1" applyAlignment="1" applyProtection="1">
      <alignment horizontal="center" vertical="center" wrapText="1" readingOrder="2"/>
      <protection locked="0"/>
    </xf>
    <xf numFmtId="0" fontId="0" fillId="0" borderId="47" xfId="0" applyBorder="1" applyAlignment="1" applyProtection="1">
      <alignment horizontal="center" vertical="center" readingOrder="2"/>
    </xf>
    <xf numFmtId="0" fontId="0" fillId="0" borderId="52" xfId="0" applyBorder="1" applyAlignment="1" applyProtection="1">
      <alignment horizontal="center" vertical="center" readingOrder="2"/>
    </xf>
    <xf numFmtId="0" fontId="0" fillId="0" borderId="40" xfId="0" applyBorder="1" applyAlignment="1" applyProtection="1">
      <alignment horizontal="center" vertical="center" readingOrder="2"/>
    </xf>
    <xf numFmtId="0" fontId="0" fillId="0" borderId="49" xfId="0" applyBorder="1" applyAlignment="1" applyProtection="1">
      <alignment horizontal="center" vertical="center" readingOrder="2"/>
    </xf>
    <xf numFmtId="0" fontId="0" fillId="0" borderId="36" xfId="0" applyBorder="1" applyAlignment="1" applyProtection="1">
      <alignment horizontal="center" vertical="center" readingOrder="2"/>
    </xf>
    <xf numFmtId="0" fontId="0" fillId="0" borderId="53" xfId="0" applyBorder="1" applyAlignment="1" applyProtection="1">
      <alignment horizontal="center" vertical="center" readingOrder="2"/>
    </xf>
    <xf numFmtId="0" fontId="35" fillId="0" borderId="47" xfId="0" applyFont="1" applyBorder="1" applyAlignment="1" applyProtection="1">
      <alignment horizontal="center" vertical="center" readingOrder="2"/>
    </xf>
    <xf numFmtId="0" fontId="35" fillId="0" borderId="40" xfId="0" applyFont="1" applyBorder="1" applyAlignment="1" applyProtection="1">
      <alignment horizontal="center" vertical="center" readingOrder="2"/>
    </xf>
    <xf numFmtId="0" fontId="35" fillId="0" borderId="49" xfId="0" applyFont="1" applyBorder="1" applyAlignment="1" applyProtection="1">
      <alignment horizontal="center" vertical="center" readingOrder="2"/>
    </xf>
    <xf numFmtId="0" fontId="35" fillId="0" borderId="52" xfId="0" applyFont="1" applyBorder="1" applyAlignment="1" applyProtection="1">
      <alignment horizontal="center" vertical="center" readingOrder="2"/>
    </xf>
    <xf numFmtId="0" fontId="35" fillId="0" borderId="36" xfId="0" applyFont="1" applyBorder="1" applyAlignment="1" applyProtection="1">
      <alignment horizontal="center" vertical="center" readingOrder="2"/>
    </xf>
    <xf numFmtId="0" fontId="35" fillId="0" borderId="53" xfId="0" applyFont="1" applyBorder="1" applyAlignment="1" applyProtection="1">
      <alignment horizontal="center" vertical="center" readingOrder="2"/>
    </xf>
    <xf numFmtId="0" fontId="21" fillId="0" borderId="0" xfId="0" applyFont="1" applyAlignment="1" applyProtection="1">
      <alignment horizontal="center" vertical="center" readingOrder="2"/>
    </xf>
    <xf numFmtId="0" fontId="21" fillId="0" borderId="36" xfId="0" applyFont="1" applyBorder="1" applyAlignment="1" applyProtection="1">
      <alignment horizontal="center" vertical="center" readingOrder="2"/>
    </xf>
    <xf numFmtId="0" fontId="20" fillId="0" borderId="54" xfId="0" applyFont="1" applyBorder="1" applyAlignment="1" applyProtection="1">
      <alignment horizontal="center" vertical="center" readingOrder="2"/>
      <protection locked="0"/>
    </xf>
    <xf numFmtId="0" fontId="20" fillId="0" borderId="12" xfId="0" applyFont="1" applyBorder="1" applyAlignment="1" applyProtection="1">
      <alignment horizontal="center" vertical="center" readingOrder="2"/>
      <protection locked="0"/>
    </xf>
    <xf numFmtId="0" fontId="20" fillId="0" borderId="44" xfId="0" applyFont="1" applyBorder="1" applyAlignment="1" applyProtection="1">
      <alignment horizontal="center" vertical="center" readingOrder="2"/>
      <protection locked="0"/>
    </xf>
    <xf numFmtId="0" fontId="20" fillId="0" borderId="1" xfId="0" applyFont="1" applyBorder="1" applyAlignment="1" applyProtection="1">
      <alignment horizontal="center" vertical="center" readingOrder="2"/>
      <protection locked="0"/>
    </xf>
    <xf numFmtId="0" fontId="20" fillId="0" borderId="31" xfId="0" applyFont="1" applyBorder="1" applyAlignment="1" applyProtection="1">
      <alignment horizontal="center" vertical="center" readingOrder="2"/>
      <protection locked="0"/>
    </xf>
    <xf numFmtId="0" fontId="21" fillId="0" borderId="47" xfId="0" applyFont="1" applyBorder="1" applyAlignment="1" applyProtection="1">
      <alignment horizontal="center" vertical="center" readingOrder="2"/>
      <protection locked="0"/>
    </xf>
    <xf numFmtId="0" fontId="21" fillId="0" borderId="40" xfId="0" applyFont="1" applyBorder="1" applyAlignment="1" applyProtection="1">
      <alignment horizontal="center" vertical="center" readingOrder="2"/>
      <protection locked="0"/>
    </xf>
    <xf numFmtId="0" fontId="21" fillId="0" borderId="49" xfId="0" applyFont="1" applyBorder="1" applyAlignment="1" applyProtection="1">
      <alignment horizontal="center" vertical="center" readingOrder="2"/>
      <protection locked="0"/>
    </xf>
    <xf numFmtId="0" fontId="21" fillId="0" borderId="52" xfId="0" applyFont="1" applyBorder="1" applyAlignment="1" applyProtection="1">
      <alignment horizontal="center" vertical="center" readingOrder="2"/>
      <protection locked="0"/>
    </xf>
    <xf numFmtId="0" fontId="21" fillId="0" borderId="36" xfId="0" applyFont="1" applyBorder="1" applyAlignment="1" applyProtection="1">
      <alignment horizontal="center" vertical="center" readingOrder="2"/>
      <protection locked="0"/>
    </xf>
    <xf numFmtId="0" fontId="21" fillId="0" borderId="53" xfId="0" applyFont="1" applyBorder="1" applyAlignment="1" applyProtection="1">
      <alignment horizontal="center" vertical="center" readingOrder="2"/>
      <protection locked="0"/>
    </xf>
    <xf numFmtId="0" fontId="20" fillId="0" borderId="34" xfId="0" applyFont="1" applyBorder="1" applyAlignment="1" applyProtection="1">
      <alignment horizontal="center" vertical="center" readingOrder="2"/>
      <protection locked="0"/>
    </xf>
    <xf numFmtId="0" fontId="36" fillId="2" borderId="11" xfId="0" applyFont="1" applyFill="1" applyBorder="1" applyAlignment="1" applyProtection="1">
      <alignment horizontal="center" vertical="center" readingOrder="2"/>
      <protection locked="0"/>
    </xf>
    <xf numFmtId="0" fontId="36" fillId="2" borderId="55" xfId="0" applyFont="1" applyFill="1" applyBorder="1" applyAlignment="1" applyProtection="1">
      <alignment horizontal="center" vertical="center" readingOrder="2"/>
      <protection locked="0"/>
    </xf>
    <xf numFmtId="0" fontId="64" fillId="0" borderId="45" xfId="0" applyFont="1" applyBorder="1" applyAlignment="1" applyProtection="1">
      <alignment horizontal="center" vertical="center" readingOrder="2"/>
      <protection locked="0"/>
    </xf>
    <xf numFmtId="0" fontId="64" fillId="0" borderId="20" xfId="0" applyFont="1" applyBorder="1" applyAlignment="1" applyProtection="1">
      <alignment horizontal="center" vertical="center" readingOrder="2"/>
      <protection locked="0"/>
    </xf>
    <xf numFmtId="0" fontId="64" fillId="0" borderId="8" xfId="0" applyFont="1" applyBorder="1" applyAlignment="1" applyProtection="1">
      <alignment horizontal="center" vertical="center" readingOrder="2"/>
      <protection locked="0"/>
    </xf>
    <xf numFmtId="0" fontId="36" fillId="2" borderId="45" xfId="0" applyFont="1" applyFill="1" applyBorder="1" applyAlignment="1" applyProtection="1">
      <alignment horizontal="center" vertical="center" readingOrder="2"/>
      <protection locked="0"/>
    </xf>
    <xf numFmtId="0" fontId="36" fillId="2" borderId="20" xfId="0" applyFont="1" applyFill="1" applyBorder="1" applyAlignment="1" applyProtection="1">
      <alignment horizontal="center" vertical="center" readingOrder="2"/>
      <protection locked="0"/>
    </xf>
    <xf numFmtId="0" fontId="20" fillId="0" borderId="66" xfId="0" applyFont="1" applyBorder="1" applyAlignment="1" applyProtection="1">
      <alignment horizontal="center" vertical="center" readingOrder="2"/>
      <protection locked="0"/>
    </xf>
    <xf numFmtId="0" fontId="20" fillId="0" borderId="38" xfId="0" applyFont="1" applyBorder="1" applyAlignment="1" applyProtection="1">
      <alignment horizontal="center" vertical="center" readingOrder="2"/>
      <protection locked="0"/>
    </xf>
    <xf numFmtId="0" fontId="64" fillId="0" borderId="66" xfId="0" applyFont="1" applyBorder="1" applyAlignment="1" applyProtection="1">
      <alignment horizontal="center" vertical="center" readingOrder="2"/>
      <protection locked="0"/>
    </xf>
    <xf numFmtId="0" fontId="64" fillId="0" borderId="67" xfId="0" applyFont="1" applyBorder="1" applyAlignment="1" applyProtection="1">
      <alignment horizontal="center" vertical="center" readingOrder="2"/>
      <protection locked="0"/>
    </xf>
    <xf numFmtId="0" fontId="64" fillId="0" borderId="47" xfId="0" applyFont="1" applyBorder="1" applyAlignment="1" applyProtection="1">
      <alignment horizontal="center" vertical="center" readingOrder="2"/>
      <protection locked="0"/>
    </xf>
    <xf numFmtId="0" fontId="64" fillId="0" borderId="40" xfId="0" applyFont="1" applyBorder="1" applyAlignment="1" applyProtection="1">
      <alignment horizontal="center" vertical="center" readingOrder="2"/>
      <protection locked="0"/>
    </xf>
    <xf numFmtId="0" fontId="64" fillId="0" borderId="11" xfId="0" applyFont="1" applyBorder="1" applyAlignment="1" applyProtection="1">
      <alignment horizontal="center" vertical="center" readingOrder="2"/>
      <protection locked="0"/>
    </xf>
    <xf numFmtId="0" fontId="64" fillId="0" borderId="55" xfId="0" applyFont="1" applyBorder="1" applyAlignment="1" applyProtection="1">
      <alignment horizontal="center" vertical="center" readingOrder="2"/>
      <protection locked="0"/>
    </xf>
    <xf numFmtId="0" fontId="64" fillId="0" borderId="0" xfId="0" applyFont="1" applyAlignment="1" applyProtection="1">
      <alignment horizontal="center" vertical="center" readingOrder="2"/>
      <protection locked="0"/>
    </xf>
    <xf numFmtId="0" fontId="36" fillId="2" borderId="27" xfId="0" applyFont="1" applyFill="1" applyBorder="1" applyAlignment="1" applyProtection="1">
      <alignment horizontal="center" vertical="center" readingOrder="2"/>
      <protection locked="0"/>
    </xf>
    <xf numFmtId="0" fontId="36" fillId="2" borderId="61" xfId="0" applyFont="1" applyFill="1" applyBorder="1" applyAlignment="1" applyProtection="1">
      <alignment horizontal="center" vertical="center" readingOrder="2"/>
      <protection locked="0"/>
    </xf>
    <xf numFmtId="0" fontId="64" fillId="0" borderId="42" xfId="0" applyFont="1" applyBorder="1" applyAlignment="1" applyProtection="1">
      <alignment horizontal="center" vertical="center" readingOrder="2"/>
      <protection locked="0"/>
    </xf>
    <xf numFmtId="0" fontId="64" fillId="0" borderId="25" xfId="0" applyFont="1" applyBorder="1" applyAlignment="1" applyProtection="1">
      <alignment horizontal="center" vertical="center" readingOrder="2"/>
      <protection locked="0"/>
    </xf>
    <xf numFmtId="0" fontId="64" fillId="0" borderId="9" xfId="0" applyFont="1" applyBorder="1" applyAlignment="1" applyProtection="1">
      <alignment horizontal="center" vertical="center" readingOrder="2"/>
      <protection locked="0"/>
    </xf>
    <xf numFmtId="0" fontId="64" fillId="0" borderId="69" xfId="0" applyFont="1" applyBorder="1" applyAlignment="1" applyProtection="1">
      <alignment horizontal="center" vertical="center" readingOrder="2"/>
      <protection locked="0"/>
    </xf>
    <xf numFmtId="0" fontId="64" fillId="0" borderId="70" xfId="0" applyFont="1" applyBorder="1" applyAlignment="1" applyProtection="1">
      <alignment horizontal="center" vertical="center" readingOrder="2"/>
      <protection locked="0"/>
    </xf>
    <xf numFmtId="0" fontId="36" fillId="2" borderId="9" xfId="0" applyFont="1" applyFill="1" applyBorder="1" applyAlignment="1" applyProtection="1">
      <alignment horizontal="center" vertical="center" readingOrder="2"/>
      <protection locked="0"/>
    </xf>
    <xf numFmtId="0" fontId="36" fillId="2" borderId="70" xfId="0" applyFont="1" applyFill="1" applyBorder="1" applyAlignment="1" applyProtection="1">
      <alignment horizontal="center" vertical="center" readingOrder="2"/>
      <protection locked="0"/>
    </xf>
    <xf numFmtId="0" fontId="64" fillId="0" borderId="41" xfId="0" applyFont="1" applyBorder="1" applyAlignment="1" applyProtection="1">
      <alignment horizontal="center" vertical="center" readingOrder="2"/>
      <protection locked="0"/>
    </xf>
    <xf numFmtId="0" fontId="64" fillId="0" borderId="24" xfId="0" applyFont="1" applyBorder="1" applyAlignment="1" applyProtection="1">
      <alignment horizontal="center" vertical="center" readingOrder="2"/>
      <protection locked="0"/>
    </xf>
    <xf numFmtId="0" fontId="64" fillId="0" borderId="27" xfId="0" applyFont="1" applyBorder="1" applyAlignment="1" applyProtection="1">
      <alignment horizontal="center" vertical="center" readingOrder="2"/>
      <protection locked="0"/>
    </xf>
    <xf numFmtId="0" fontId="64" fillId="0" borderId="68" xfId="0" applyFont="1" applyBorder="1" applyAlignment="1" applyProtection="1">
      <alignment horizontal="center" vertical="center" readingOrder="2"/>
      <protection locked="0"/>
    </xf>
    <xf numFmtId="0" fontId="64" fillId="0" borderId="61" xfId="0" applyFont="1" applyBorder="1" applyAlignment="1" applyProtection="1">
      <alignment horizontal="center" vertical="center" readingOrder="2"/>
      <protection locked="0"/>
    </xf>
    <xf numFmtId="0" fontId="36" fillId="2" borderId="52" xfId="0" applyFont="1" applyFill="1" applyBorder="1" applyAlignment="1" applyProtection="1">
      <alignment horizontal="center" vertical="center" readingOrder="2"/>
      <protection locked="0"/>
    </xf>
    <xf numFmtId="0" fontId="36" fillId="2" borderId="53" xfId="0" applyFont="1" applyFill="1" applyBorder="1" applyAlignment="1" applyProtection="1">
      <alignment horizontal="center" vertical="center" readingOrder="2"/>
      <protection locked="0"/>
    </xf>
    <xf numFmtId="0" fontId="64" fillId="0" borderId="33" xfId="0" applyFont="1" applyBorder="1" applyAlignment="1" applyProtection="1">
      <alignment horizontal="center" vertical="center" readingOrder="2"/>
      <protection locked="0"/>
    </xf>
    <xf numFmtId="0" fontId="64" fillId="0" borderId="71" xfId="0" applyFont="1" applyBorder="1" applyAlignment="1" applyProtection="1">
      <alignment horizontal="center" vertical="center" readingOrder="2"/>
      <protection locked="0"/>
    </xf>
    <xf numFmtId="0" fontId="64" fillId="0" borderId="48" xfId="0" applyFont="1" applyBorder="1" applyAlignment="1" applyProtection="1">
      <alignment horizontal="center" vertical="center" readingOrder="2"/>
      <protection locked="0"/>
    </xf>
    <xf numFmtId="0" fontId="46" fillId="5" borderId="44" xfId="0" applyFont="1" applyFill="1" applyBorder="1" applyAlignment="1" applyProtection="1">
      <alignment horizontal="center" vertical="center" readingOrder="2"/>
      <protection locked="0"/>
    </xf>
    <xf numFmtId="0" fontId="46" fillId="5" borderId="26" xfId="0" applyFont="1" applyFill="1" applyBorder="1" applyAlignment="1" applyProtection="1">
      <alignment horizontal="center" vertical="center" readingOrder="2"/>
      <protection locked="0"/>
    </xf>
    <xf numFmtId="0" fontId="15" fillId="0" borderId="44" xfId="0" applyFont="1" applyBorder="1" applyAlignment="1" applyProtection="1">
      <alignment horizontal="center" vertical="center" shrinkToFit="1" readingOrder="2"/>
      <protection locked="0"/>
    </xf>
    <xf numFmtId="0" fontId="15" fillId="0" borderId="1" xfId="0" applyFont="1" applyBorder="1" applyAlignment="1" applyProtection="1">
      <alignment horizontal="center" vertical="center" shrinkToFit="1" readingOrder="2"/>
      <protection locked="0"/>
    </xf>
    <xf numFmtId="0" fontId="14" fillId="0" borderId="44" xfId="0" applyFont="1" applyBorder="1" applyAlignment="1" applyProtection="1">
      <alignment horizontal="center" vertical="center" shrinkToFit="1" readingOrder="2"/>
      <protection locked="0"/>
    </xf>
    <xf numFmtId="0" fontId="14" fillId="0" borderId="1" xfId="0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64" fillId="0" borderId="0" xfId="0" applyFont="1" applyAlignment="1" applyProtection="1">
      <alignment horizontal="right" vertical="center" readingOrder="2"/>
      <protection locked="0"/>
    </xf>
    <xf numFmtId="0" fontId="21" fillId="0" borderId="0" xfId="0" applyFont="1" applyAlignment="1" applyProtection="1">
      <alignment horizontal="center" readingOrder="2"/>
      <protection locked="0"/>
    </xf>
    <xf numFmtId="0" fontId="36" fillId="0" borderId="0" xfId="0" applyFont="1" applyAlignment="1" applyProtection="1">
      <alignment horizontal="right" readingOrder="2"/>
      <protection locked="0"/>
    </xf>
    <xf numFmtId="0" fontId="21" fillId="0" borderId="0" xfId="0" applyFont="1" applyAlignment="1" applyProtection="1">
      <alignment horizontal="center" vertical="center" readingOrder="2"/>
      <protection locked="0"/>
    </xf>
    <xf numFmtId="0" fontId="36" fillId="2" borderId="33" xfId="0" applyFont="1" applyFill="1" applyBorder="1" applyAlignment="1" applyProtection="1">
      <alignment horizontal="center" vertical="center" readingOrder="2"/>
      <protection locked="0"/>
    </xf>
    <xf numFmtId="0" fontId="36" fillId="2" borderId="48" xfId="0" applyFont="1" applyFill="1" applyBorder="1" applyAlignment="1" applyProtection="1">
      <alignment horizontal="center" vertical="center" readingOrder="2"/>
      <protection locked="0"/>
    </xf>
    <xf numFmtId="0" fontId="64" fillId="0" borderId="74" xfId="0" applyFont="1" applyBorder="1" applyAlignment="1" applyProtection="1">
      <alignment horizontal="center" vertical="center" readingOrder="2"/>
      <protection locked="0"/>
    </xf>
    <xf numFmtId="0" fontId="64" fillId="0" borderId="65" xfId="0" applyFont="1" applyBorder="1" applyAlignment="1" applyProtection="1">
      <alignment horizontal="center" vertical="center" readingOrder="2"/>
      <protection locked="0"/>
    </xf>
    <xf numFmtId="0" fontId="64" fillId="0" borderId="52" xfId="0" applyFont="1" applyBorder="1" applyAlignment="1" applyProtection="1">
      <alignment horizontal="center" vertical="center" readingOrder="2"/>
      <protection locked="0"/>
    </xf>
    <xf numFmtId="0" fontId="64" fillId="0" borderId="36" xfId="0" applyFont="1" applyBorder="1" applyAlignment="1" applyProtection="1">
      <alignment horizontal="center" vertical="center" readingOrder="2"/>
      <protection locked="0"/>
    </xf>
    <xf numFmtId="0" fontId="64" fillId="0" borderId="53" xfId="0" applyFont="1" applyBorder="1" applyAlignment="1" applyProtection="1">
      <alignment horizontal="center" vertical="center" readingOrder="2"/>
      <protection locked="0"/>
    </xf>
    <xf numFmtId="0" fontId="14" fillId="0" borderId="44" xfId="0" applyFont="1" applyBorder="1" applyAlignment="1" applyProtection="1">
      <alignment horizontal="center" vertical="center" readingOrder="2"/>
      <protection locked="0"/>
    </xf>
    <xf numFmtId="0" fontId="14" fillId="0" borderId="39" xfId="0" applyFont="1" applyBorder="1" applyAlignment="1" applyProtection="1">
      <alignment horizontal="center" vertical="center" readingOrder="2"/>
      <protection locked="0"/>
    </xf>
    <xf numFmtId="0" fontId="14" fillId="0" borderId="26" xfId="0" applyFont="1" applyBorder="1" applyAlignment="1" applyProtection="1">
      <alignment horizontal="center" vertical="center" readingOrder="2"/>
      <protection locked="0"/>
    </xf>
    <xf numFmtId="0" fontId="2" fillId="0" borderId="47" xfId="0" applyFont="1" applyBorder="1" applyAlignment="1">
      <alignment horizontal="center" vertical="center" readingOrder="2"/>
    </xf>
    <xf numFmtId="0" fontId="2" fillId="0" borderId="40" xfId="0" applyFont="1" applyBorder="1" applyAlignment="1">
      <alignment horizontal="center" vertical="center" readingOrder="2"/>
    </xf>
    <xf numFmtId="0" fontId="2" fillId="0" borderId="49" xfId="0" applyFont="1" applyBorder="1" applyAlignment="1">
      <alignment horizontal="center" vertical="center" readingOrder="2"/>
    </xf>
    <xf numFmtId="0" fontId="63" fillId="0" borderId="44" xfId="0" applyFont="1" applyBorder="1" applyAlignment="1">
      <alignment horizontal="center" vertical="center" shrinkToFit="1" readingOrder="2"/>
    </xf>
  </cellXfs>
  <cellStyles count="2">
    <cellStyle name="Normal" xfId="0" builtinId="0"/>
    <cellStyle name="عاد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xmlns:ns4="http://schemas.microsoft.com/office/spreadsheetml/2009/9/main" xmlns:ns5="http://schemas.microsoft.com/office/excel/2006/main" ns1:Ignorable="x14ac">
  <sheetPr codeName="Worksheet____1">
    <tabColor rgb="FF7030A0"/>
    <pageSetUpPr fitToPage="1"/>
  </sheetPr>
  <dimension ref="A1:BF46"/>
  <sheetViews>
    <sheetView rightToLeft="1" tabSelected="1" view="pageBreakPreview" topLeftCell="A16" zoomScale="115" zoomScaleSheetLayoutView="115" workbookViewId="0">
      <selection activeCell="P37" sqref="P37:Q37"/>
    </sheetView>
  </sheetViews>
  <sheetFormatPr defaultColWidth="5.6640625" defaultRowHeight="18" customHeight="1" ns2:dyDescent="0.3"/>
  <cols>
    <col min="1" max="1" width="0.6640625" style="37" customWidth="1"/>
    <col min="2" max="2" width="3.109375" style="37" customWidth="1"/>
    <col min="3" max="3" width="12.6640625" style="2" customWidth="1"/>
    <col min="4" max="4" width="6.6640625" style="2" customWidth="1"/>
    <col min="5" max="5" width="6.88671875" style="2" customWidth="1"/>
    <col min="6" max="6" width="7.77734375" style="2" customWidth="1"/>
    <col min="7" max="7" width="6" style="2" customWidth="1"/>
    <col min="8" max="8" width="6.21875" style="2" customWidth="1"/>
    <col min="9" max="9" width="7.88671875" style="2" customWidth="1"/>
    <col min="10" max="10" width="8" style="2" customWidth="1"/>
    <col min="11" max="11" width="7.77734375" style="2" customWidth="1"/>
    <col min="12" max="12" width="5.21875" style="2" customWidth="1"/>
    <col min="13" max="13" width="5.6640625" style="2" customWidth="1"/>
    <col min="14" max="14" width="7.21875" style="2" customWidth="1"/>
    <col min="15" max="15" width="6" style="2" customWidth="1"/>
    <col min="16" max="16" width="5.6640625" style="2" customWidth="1"/>
    <col min="17" max="19" width="6.21875" style="2" customWidth="1"/>
    <col min="20" max="20" width="6.33203125" style="2" customWidth="1"/>
    <col min="21" max="21" width="9.44140625" style="2" customWidth="1"/>
    <col min="22" max="22" width="7.33203125" style="2" customWidth="1"/>
    <col min="23" max="23" width="4.6640625" style="2" customWidth="1"/>
    <col min="24" max="24" width="6.6640625" style="2" customWidth="1"/>
    <col min="25" max="25" width="6.88671875" style="2" customWidth="1"/>
    <col min="26" max="26" width="7.21875" style="2" customWidth="1"/>
    <col min="27" max="27" width="7.88671875" style="2" customWidth="1"/>
    <col min="28" max="28" width="1.88671875" style="2" customWidth="1"/>
    <col min="29" max="29" width="3" style="2" customWidth="1"/>
    <col min="30" max="16384" width="5.6640625" style="2"/>
  </cols>
  <sheetData>
    <row r="1" spans="1:58" ht="16.5" customHeight="1" ns2:dyDescent="0.3">
      <c r="C1" s="481" t="s">
        <v>179</v>
      </c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</row>
    <row r="2" spans="1:58" ht="18" customHeight="1" thickBot="1" ns2:dyDescent="0.35"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481"/>
      <c r="Z2" s="481"/>
      <c r="AA2" s="481"/>
    </row>
    <row r="3" spans="1:58" s="207" customFormat="1" ht="18" customHeight="1" thickBot="1" ns2:dyDescent="0.35">
      <c r="A3" s="114"/>
      <c r="B3" s="114"/>
      <c r="C3" s="393" t="s">
        <v>188</v>
      </c>
      <c r="D3" s="394"/>
      <c r="E3" s="395"/>
      <c r="F3" s="395"/>
      <c r="G3" s="395"/>
      <c r="H3" s="395"/>
      <c r="I3" s="395"/>
      <c r="J3" s="209" t="s">
        <v>187</v>
      </c>
      <c r="K3" s="395"/>
      <c r="L3" s="396"/>
      <c r="M3" s="210"/>
      <c r="N3" s="210"/>
      <c r="O3" s="213"/>
      <c r="P3" s="365" t="s">
        <v>186</v>
      </c>
      <c r="Q3" s="366"/>
      <c r="R3" s="205" t="s">
        <v>181</v>
      </c>
      <c r="S3" s="201" t="s">
        <v>182</v>
      </c>
      <c r="T3" s="203" t="s">
        <v>183</v>
      </c>
      <c r="U3" s="382" t="s">
        <v>189</v>
      </c>
      <c r="V3" s="383"/>
      <c r="W3" s="383"/>
      <c r="X3" s="384"/>
      <c r="Y3" s="385"/>
      <c r="Z3" s="385"/>
      <c r="AA3" s="386"/>
    </row>
    <row r="4" spans="1:58" ht="18" customHeight="1" thickBot="1" ns2:dyDescent="0.35">
      <c r="C4" s="501" t="s">
        <v>230</v>
      </c>
      <c r="D4" s="65"/>
      <c r="G4" s="65"/>
      <c r="H4" s="65"/>
      <c r="I4" s="65"/>
      <c r="J4" s="65"/>
      <c r="K4" s="65"/>
      <c r="L4" s="65"/>
      <c r="M4" s="1"/>
      <c r="N4" s="1"/>
      <c r="O4" s="213"/>
      <c r="P4" s="367"/>
      <c r="Q4" s="368"/>
      <c r="R4" s="204"/>
      <c r="S4" s="174"/>
      <c r="T4" s="97"/>
      <c r="U4" s="503" t="s">
        <v>203</v>
      </c>
      <c r="V4" s="504"/>
      <c r="W4" s="504"/>
      <c r="X4" s="505"/>
      <c r="Y4" s="387"/>
      <c r="Z4" s="387"/>
      <c r="AA4" s="388"/>
    </row>
    <row r="5" spans="1:58" ht="18" customHeight="1" thickBot="1" ns2:dyDescent="0.35">
      <c r="C5" s="502"/>
      <c r="Q5" s="77"/>
    </row>
    <row r="6" spans="1:58" s="207" customFormat="1" ht="18" customHeight="1" thickBot="1" ns2:dyDescent="0.35">
      <c r="A6" s="114"/>
      <c r="B6" s="114"/>
      <c r="C6" s="466" t="s">
        <v>53</v>
      </c>
      <c r="D6" s="467"/>
      <c r="E6" s="458" t="s">
        <v>54</v>
      </c>
      <c r="F6" s="492"/>
      <c r="G6" s="467" t="s">
        <v>291</v>
      </c>
      <c r="H6" s="467"/>
      <c r="I6" s="467"/>
      <c r="J6" s="202" t="s">
        <v>27</v>
      </c>
      <c r="K6" s="393" t="s">
        <v>273</v>
      </c>
      <c r="L6" s="394"/>
      <c r="M6" s="394"/>
      <c r="N6" s="394"/>
      <c r="O6" s="382" t="s">
        <v>55</v>
      </c>
      <c r="P6" s="383"/>
      <c r="Q6" s="398"/>
      <c r="R6" s="399" t="s">
        <v>227</v>
      </c>
      <c r="S6" s="400"/>
      <c r="T6" s="393" t="s">
        <v>226</v>
      </c>
      <c r="U6" s="394"/>
      <c r="V6" s="397"/>
      <c r="W6" s="394" t="s">
        <v>207</v>
      </c>
      <c r="X6" s="394"/>
      <c r="Y6" s="394"/>
      <c r="Z6" s="394"/>
      <c r="AA6" s="397"/>
    </row>
    <row r="7" spans="1:58" ht="18" customHeight="1" thickBot="1" ns2:dyDescent="0.35">
      <c r="C7" s="511"/>
      <c r="D7" s="513"/>
      <c r="E7" s="475"/>
      <c r="F7" s="477"/>
      <c r="G7" s="511"/>
      <c r="H7" s="512"/>
      <c r="I7" s="513"/>
      <c r="J7" s="506"/>
      <c r="K7" s="475"/>
      <c r="L7" s="476"/>
      <c r="M7" s="476"/>
      <c r="N7" s="476"/>
      <c r="O7" s="475"/>
      <c r="P7" s="476"/>
      <c r="Q7" s="477"/>
      <c r="R7" s="446"/>
      <c r="S7" s="447"/>
      <c r="T7" s="469"/>
      <c r="U7" s="470"/>
      <c r="V7" s="471"/>
      <c r="W7" s="378" t="s">
        <v>205</v>
      </c>
      <c r="X7" s="379"/>
      <c r="Y7" s="369"/>
      <c r="Z7" s="370"/>
      <c r="AA7" s="371"/>
    </row>
    <row r="8" spans="1:58" ht="18" customHeight="1" thickBot="1" ns2:dyDescent="0.35">
      <c r="C8" s="514"/>
      <c r="D8" s="516"/>
      <c r="E8" s="478"/>
      <c r="F8" s="480"/>
      <c r="G8" s="514"/>
      <c r="H8" s="515"/>
      <c r="I8" s="516"/>
      <c r="J8" s="507"/>
      <c r="K8" s="478"/>
      <c r="L8" s="479"/>
      <c r="M8" s="479"/>
      <c r="N8" s="479"/>
      <c r="O8" s="478"/>
      <c r="P8" s="479"/>
      <c r="Q8" s="480"/>
      <c r="R8" s="448"/>
      <c r="S8" s="449"/>
      <c r="T8" s="472"/>
      <c r="U8" s="473"/>
      <c r="V8" s="474"/>
      <c r="W8" s="380" t="s">
        <v>206</v>
      </c>
      <c r="X8" s="381"/>
      <c r="Y8" s="372"/>
      <c r="Z8" s="373"/>
      <c r="AA8" s="374"/>
    </row>
    <row r="9" spans="1:58" ht="18" customHeight="1" thickBot="1" ns2:dyDescent="0.35">
      <c r="C9" s="517"/>
      <c r="D9" s="517"/>
      <c r="E9" s="517"/>
      <c r="F9" s="517"/>
      <c r="G9" s="517"/>
      <c r="H9" s="517"/>
      <c r="I9" s="517"/>
      <c r="J9" s="517"/>
      <c r="K9" s="517"/>
      <c r="L9" s="517"/>
      <c r="M9" s="517"/>
      <c r="N9" s="517"/>
      <c r="O9" s="518"/>
      <c r="P9" s="518"/>
      <c r="Q9" s="518"/>
      <c r="R9" s="518"/>
      <c r="S9" s="518"/>
      <c r="T9" s="518"/>
      <c r="U9" s="37"/>
      <c r="V9" s="37"/>
      <c r="W9" s="37"/>
      <c r="X9" s="37"/>
      <c r="Y9" s="37"/>
      <c r="Z9" s="37"/>
      <c r="AA9" s="37"/>
    </row>
    <row r="10" spans="1:58" s="1" customFormat="1" ht="30" customHeight="1" thickBot="1" ns2:dyDescent="0.35">
      <c r="A10" s="111"/>
      <c r="B10" s="111"/>
      <c r="C10" s="464" t="s">
        <v>24</v>
      </c>
      <c r="D10" s="465"/>
      <c r="E10" s="450" t="s">
        <v>51</v>
      </c>
      <c r="F10" s="508"/>
      <c r="G10" s="451"/>
      <c r="H10" s="450" t="s">
        <v>63</v>
      </c>
      <c r="I10" s="508"/>
      <c r="J10" s="451"/>
      <c r="K10" s="450" t="s">
        <v>52</v>
      </c>
      <c r="L10" s="451"/>
      <c r="M10" s="450" t="s">
        <v>257</v>
      </c>
      <c r="N10" s="451"/>
      <c r="O10" s="171" t="s">
        <v>90</v>
      </c>
      <c r="P10" s="171" t="s">
        <v>6</v>
      </c>
      <c r="Q10" s="171" t="s">
        <v>19</v>
      </c>
      <c r="R10" s="171" t="s">
        <v>7</v>
      </c>
      <c r="S10" s="171" t="s">
        <v>9</v>
      </c>
      <c r="T10" s="171" t="s">
        <v>20</v>
      </c>
      <c r="U10" s="172" t="s">
        <v>8</v>
      </c>
      <c r="V10" s="171" t="s">
        <v>263</v>
      </c>
      <c r="W10" s="171" t="s">
        <v>22</v>
      </c>
      <c r="X10" s="171" t="s">
        <v>10</v>
      </c>
      <c r="Y10" s="171" t="s">
        <v>23</v>
      </c>
      <c r="Z10" s="173" t="s">
        <v>97</v>
      </c>
      <c r="AA10" s="171" t="s">
        <v>11</v>
      </c>
      <c r="AG10" s="124"/>
    </row>
    <row r="11" spans="1:58" ht="18" customHeight="1" thickBot="1" ns2:dyDescent="0.35">
      <c r="C11" s="462"/>
      <c r="D11" s="463"/>
      <c r="E11" s="468"/>
      <c r="F11" s="456"/>
      <c r="G11" s="457"/>
      <c r="H11" s="455"/>
      <c r="I11" s="456"/>
      <c r="J11" s="457"/>
      <c r="K11" s="455"/>
      <c r="L11" s="457"/>
      <c r="M11" s="490"/>
      <c r="N11" s="491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</row>
    <row r="12" spans="1:58" ht="18" customHeight="1" thickBot="1" ns2:dyDescent="0.35">
      <c r="B12" s="182"/>
      <c r="C12" s="382" t="s">
        <v>95</v>
      </c>
      <c r="D12" s="394"/>
      <c r="E12" s="394"/>
      <c r="F12" s="394"/>
      <c r="G12" s="394"/>
      <c r="H12" s="394"/>
      <c r="I12" s="394"/>
      <c r="J12" s="394"/>
      <c r="K12" s="394"/>
      <c r="L12" s="394"/>
      <c r="M12" s="394"/>
      <c r="N12" s="394"/>
      <c r="O12" s="394"/>
      <c r="P12" s="394"/>
      <c r="Q12" s="394"/>
      <c r="R12" s="394"/>
      <c r="S12" s="394"/>
      <c r="T12" s="394"/>
      <c r="U12" s="394"/>
      <c r="V12" s="394"/>
      <c r="W12" s="394"/>
      <c r="X12" s="394"/>
      <c r="Y12" s="394"/>
      <c r="Z12" s="394"/>
      <c r="AA12" s="397"/>
    </row>
    <row r="13" spans="1:58" s="10" customFormat="1" ht="18" customHeight="1" thickBot="1" ns2:dyDescent="0.35">
      <c r="A13" s="37"/>
      <c r="B13" s="37"/>
      <c r="C13" s="443" t="s">
        <v>264</v>
      </c>
      <c r="D13" s="9" t="s">
        <v>69</v>
      </c>
      <c r="E13" s="5"/>
      <c r="F13" s="146" t="s">
        <v>86</v>
      </c>
      <c r="G13" s="5"/>
      <c r="H13" s="495" t="s">
        <v>255</v>
      </c>
      <c r="I13" s="9" t="s">
        <v>71</v>
      </c>
      <c r="J13" s="98">
        <f>SUM(COUNTIFS('الجهاز التدريسي'!H4:H200,"*جامع*",'الجهاز التدريسي'!I4:I200,"*عربي*"))</f>
        <v>0</v>
      </c>
      <c r="K13" s="18" t="s">
        <v>73</v>
      </c>
      <c r="L13" s="5"/>
      <c r="M13" s="18" t="s">
        <v>76</v>
      </c>
      <c r="N13" s="5">
        <f>SUM(COUNTIFS('الجهاز التدريسي'!H4:H200,"*جامع*",'الجهاز التدريسي'!I4:I200,"*سلام*"))</f>
        <v>0</v>
      </c>
      <c r="O13" s="18" t="s">
        <v>29</v>
      </c>
      <c r="P13" s="5"/>
      <c r="Q13" s="18" t="s">
        <v>77</v>
      </c>
      <c r="R13" s="7">
        <f>SUM(COUNTIFS('الجهاز التدريسي'!H4:H200,"*جامع*",'الجهاز التدريسي'!I4:I200,"*علوم*"))</f>
        <v>0</v>
      </c>
      <c r="S13" s="154" t="s">
        <v>237</v>
      </c>
      <c r="T13" s="7">
        <f>SUM(COUNTIFS('الجهاز التدريسي'!H4:H200,"*جامع*",'الجهاز التدريسي'!I4:I200,"*تجارة*"))</f>
        <v>0</v>
      </c>
      <c r="U13" s="375" t="s">
        <v>256</v>
      </c>
      <c r="V13" s="9" t="s">
        <v>71</v>
      </c>
      <c r="W13" s="5">
        <f>SUM(COUNTIFS('الجهاز التدريسي'!H4:H200,"*معهد*",'الجهاز التدريسي'!I4:I200,"*عربي*"),COUNTIFS('الجهاز التدريسي'!H4:H200,"*ثانوية*",'الجهاز التدريسي'!I4:I200,"*عربي*"),COUNTIFS('الجهاز التدريسي'!H4:H200,"*اخرى*",'الجهاز التدريسي'!I4:I200,"*عربي*"))</f>
        <v>0</v>
      </c>
      <c r="X13" s="17" t="s">
        <v>29</v>
      </c>
      <c r="Y13" s="99"/>
      <c r="Z13" s="18" t="s">
        <v>79</v>
      </c>
      <c r="AA13" s="100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8" customHeight="1" ns2:dyDescent="0.3">
      <c r="C14" s="444"/>
      <c r="D14" s="222" t="s">
        <v>70</v>
      </c>
      <c r="E14" s="101"/>
      <c r="F14" s="169"/>
      <c r="G14" s="102"/>
      <c r="H14" s="496"/>
      <c r="I14" s="11" t="s">
        <v>72</v>
      </c>
      <c r="J14" s="103">
        <f>SUM(COUNTIFS('الجهاز التدريسي'!H4:H200,"*جامع*",'الجهاز التدريسي'!I4:I200,"*رياضيات*"))</f>
        <v>0</v>
      </c>
      <c r="K14" s="17" t="s">
        <v>74</v>
      </c>
      <c r="L14" s="104">
        <f>SUM(COUNTIFS('الجهاز التدريسي'!H4:H200,"*جامع*",'الجهاز التدريسي'!I4:I200,"*جغراف*"))</f>
        <v>0</v>
      </c>
      <c r="M14" s="17" t="s">
        <v>93</v>
      </c>
      <c r="N14" s="104">
        <f>SUM(COUNTIFS('الجهاز التدريسي'!H4:H200,"*جامع*",'الجهاز التدريسي'!I4:I200,"*مسيح*"))</f>
        <v>0</v>
      </c>
      <c r="O14" s="17" t="s">
        <v>75</v>
      </c>
      <c r="P14" s="104">
        <f>SUM(COUNTIFS('الجهاز التدريسي'!H4:H200,"*جامع*",'الجهاز التدريسي'!I4:I200,"*فرنس*"))</f>
        <v>0</v>
      </c>
      <c r="Q14" s="17" t="s">
        <v>80</v>
      </c>
      <c r="R14" s="102">
        <f>SUM(COUNTIFS('الجهاز التدريسي'!H4:H200,"*جامع*",'الجهاز التدريسي'!I4:I200,"*رياضة*"))</f>
        <v>0</v>
      </c>
      <c r="S14" s="17" t="s">
        <v>244</v>
      </c>
      <c r="T14" s="102">
        <f>SUM(COUNTIFS('الجهاز التدريسي'!H4:H200,"*جامع*",'الجهاز التدريسي'!I4:I200,"*فلسلف*"))</f>
        <v>0</v>
      </c>
      <c r="U14" s="376"/>
      <c r="V14" s="11" t="s">
        <v>72</v>
      </c>
      <c r="W14" s="103">
        <f>SUM(COUNTIFS('الجهاز التدريسي'!H4:H200,"*معهد*",'الجهاز التدريسي'!I4:I200,"*رياضيات*"),COUNTIFS('الجهاز التدريسي'!H4:H200,"*ثانوية*",'الجهاز التدريسي'!I4:I200,"*رياضيات*"),COUNTIFS('الجهاز التدريسي'!H4:H200,"*اخرى*",'الجهاز التدريسي'!I4:I200,"*رياضيات*"))</f>
        <v>0</v>
      </c>
      <c r="X14" s="18" t="s">
        <v>75</v>
      </c>
      <c r="Y14" s="105">
        <f>SUM(COUNTIFS('الجهاز التدريسي'!H4:H200,"*معهد*",'الجهاز التدريسي'!I4:I200,"*فرنسي*"),COUNTIFS('الجهاز التدريسي'!H4:H200,"*ثانوية*",'الجهاز التدريسي'!I4:I200,"*فرنسي*"),COUNTIFS('الجهاز التدريسي'!H4:H200,"*اخرى*",'الجهاز التدريسي'!I4:I200,"*فرنسي*"))</f>
        <v>0</v>
      </c>
      <c r="Z14" s="17" t="s">
        <v>94</v>
      </c>
      <c r="AA14" s="106">
        <f>SUM(COUNTIFS('الجهاز التدريسي'!H4:H200,"*معهد*",'الجهاز التدريسي'!I4:I200,"*معلومات*"),COUNTIFS('الجهاز التدريسي'!H4:H200,"*ثانوية*",'الجهاز التدريسي'!I4:I200,"*معلومات*"),COUNTIFS('الجهاز التدريسي'!H4:H200,"*اخرى*",'الجهاز التدريسي'!I4:I200,"*معلومات*"))</f>
        <v>0</v>
      </c>
    </row>
    <row r="15" spans="1:58" s="14" customFormat="1" ht="18" customHeight="1" thickBot="1" ns2:dyDescent="0.35">
      <c r="A15" s="37"/>
      <c r="B15" s="37"/>
      <c r="C15" s="445"/>
      <c r="D15" s="16" t="s">
        <v>81</v>
      </c>
      <c r="E15" s="6"/>
      <c r="F15" s="170"/>
      <c r="G15" s="150"/>
      <c r="H15" s="497"/>
      <c r="I15" s="147" t="s">
        <v>89</v>
      </c>
      <c r="J15" s="148">
        <f>SUM(COUNTIFS('الجهاز التدريسي'!H4:H200,"*جامع*",'الجهاز التدريسي'!I4:I200,"*فيز*"))</f>
        <v>0</v>
      </c>
      <c r="K15" s="43" t="s">
        <v>92</v>
      </c>
      <c r="L15" s="148">
        <f>SUM(COUNTIFS('الجهاز التدريسي'!H4:H200,"*جامع*",'الجهاز التدريسي'!I4:I200,"*قوم*"))</f>
        <v>0</v>
      </c>
      <c r="M15" s="149" t="s">
        <v>94</v>
      </c>
      <c r="N15" s="148">
        <f>SUM(COUNTIFS('الجهاز التدريسي'!H4:H200,"*جامع*",'الجهاز التدريسي'!I4:I200,"*معلومات*"))</f>
        <v>0</v>
      </c>
      <c r="O15" s="43" t="s">
        <v>87</v>
      </c>
      <c r="P15" s="148">
        <f>SUM(COUNTIFS('الجهاز التدريسي'!H4:H200,"*جامع*",'الجهاز التدريسي'!I4:I200,"*روسي*"))</f>
        <v>0</v>
      </c>
      <c r="Q15" s="149" t="s">
        <v>79</v>
      </c>
      <c r="R15" s="150">
        <f>SUM(COUNTIFS('الجهاز التدريسي'!H4:H200,"*جامع*",'الجهاز التدريسي'!I4:I200,"*فنون*"))</f>
        <v>0</v>
      </c>
      <c r="S15" s="155" t="s">
        <v>265</v>
      </c>
      <c r="T15" s="150">
        <f>SUM(COUNTIFS('الجهاز التدريسي'!H4:H200,"*جامع*",'الجهاز التدريسي'!I4:I200,"*مهندس*"))</f>
        <v>0</v>
      </c>
      <c r="U15" s="377"/>
      <c r="V15" s="16" t="s">
        <v>77</v>
      </c>
      <c r="W15" s="107">
        <f>SUM(COUNTIFS('الجهاز التدريسي'!H4:H200,"*معهد*",'الجهاز التدريسي'!I4:I200,"*علوم*"),COUNTIFS('الجهاز التدريسي'!H4:H200,"*ثانوية*",'الجهاز التدريسي'!I4:I200,"*علوم*"),COUNTIFS('الجهاز التدريسي'!H4:H200,"*اخرى*",'الجهاز التدريسي'!I4:I200,"*علوم*"))</f>
        <v>0</v>
      </c>
      <c r="X15" s="13" t="s">
        <v>78</v>
      </c>
      <c r="Y15" s="107"/>
      <c r="Z15" s="13" t="s">
        <v>80</v>
      </c>
      <c r="AA15" s="108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s="8" customFormat="1" ht="18" customHeight="1" thickBot="1" ns2:dyDescent="0.35">
      <c r="A16" s="111"/>
      <c r="B16" s="111"/>
      <c r="C16" s="389" t="s">
        <v>254</v>
      </c>
      <c r="D16" s="390"/>
      <c r="E16" s="390"/>
      <c r="F16" s="391"/>
      <c r="G16" s="157">
        <f>SUM(G13,E13:E15)</f>
        <v>28</v>
      </c>
      <c r="H16" s="390" t="s">
        <v>143</v>
      </c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157">
        <f>SUM(J13:J15,L13:L15,N13:N15,P13:P15,R13:R15,T13:T15)</f>
        <v>3</v>
      </c>
      <c r="U16" s="389" t="s">
        <v>142</v>
      </c>
      <c r="V16" s="390"/>
      <c r="W16" s="390"/>
      <c r="X16" s="390"/>
      <c r="Y16" s="390"/>
      <c r="Z16" s="391"/>
      <c r="AA16" s="156">
        <f>SUM(W13:W15,Y13:Y15,AA13:AA15)</f>
        <v>13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2:37" ht="18" customHeight="1" thickBot="1" ns2:dyDescent="0.35">
      <c r="C17" s="109"/>
      <c r="D17" s="109"/>
      <c r="E17" s="37"/>
      <c r="F17" s="37"/>
      <c r="G17" s="37"/>
      <c r="H17" s="37"/>
      <c r="I17" s="37"/>
      <c r="J17" s="110"/>
      <c r="K17" s="37"/>
      <c r="L17" s="37"/>
      <c r="M17" s="37"/>
      <c r="N17" s="37"/>
      <c r="O17" s="37"/>
      <c r="P17" s="37"/>
      <c r="Q17" s="110"/>
      <c r="R17" s="110"/>
      <c r="S17" s="37"/>
      <c r="T17" s="37"/>
      <c r="U17" s="37"/>
      <c r="V17" s="37"/>
      <c r="W17" s="37"/>
      <c r="X17" s="37"/>
      <c r="Y17" s="37"/>
      <c r="Z17" s="37"/>
      <c r="AA17" s="37"/>
    </row>
    <row r="18" spans="2:37" ht="18" customHeight="1" thickBot="1" ns2:dyDescent="0.35">
      <c r="C18" s="459" t="s">
        <v>32</v>
      </c>
      <c r="D18" s="460"/>
      <c r="E18" s="460"/>
      <c r="F18" s="460"/>
      <c r="G18" s="460"/>
      <c r="H18" s="460"/>
      <c r="I18" s="460"/>
      <c r="J18" s="461"/>
      <c r="K18" s="521" t="s">
        <v>166</v>
      </c>
      <c r="L18" s="111"/>
      <c r="M18" s="452" t="s">
        <v>88</v>
      </c>
      <c r="N18" s="453"/>
      <c r="O18" s="453"/>
      <c r="P18" s="453"/>
      <c r="Q18" s="454"/>
      <c r="R18" s="110"/>
      <c r="S18" s="393" t="s">
        <v>152</v>
      </c>
      <c r="T18" s="394"/>
      <c r="U18" s="397"/>
      <c r="V18" s="112">
        <f>SUM(E13:E15,G13:G15)</f>
        <v>28</v>
      </c>
      <c r="W18" s="37"/>
      <c r="X18" s="389" t="s">
        <v>269</v>
      </c>
      <c r="Y18" s="390"/>
      <c r="Z18" s="391"/>
      <c r="AA18" s="120"/>
    </row>
    <row r="19" spans="2:37" ht="18" customHeight="1" thickBot="1" ns2:dyDescent="0.35">
      <c r="C19" s="484" t="s">
        <v>28</v>
      </c>
      <c r="D19" s="487" t="s">
        <v>12</v>
      </c>
      <c r="E19" s="393" t="s">
        <v>30</v>
      </c>
      <c r="F19" s="394"/>
      <c r="G19" s="394"/>
      <c r="H19" s="394"/>
      <c r="I19" s="394"/>
      <c r="J19" s="397"/>
      <c r="K19" s="522"/>
      <c r="L19" s="37"/>
      <c r="M19" s="452" t="s">
        <v>46</v>
      </c>
      <c r="N19" s="458"/>
      <c r="O19" s="123" t="s">
        <v>47</v>
      </c>
      <c r="P19" s="482" t="s">
        <v>48</v>
      </c>
      <c r="Q19" s="483"/>
      <c r="R19" s="113"/>
      <c r="S19" s="393" t="s">
        <v>143</v>
      </c>
      <c r="T19" s="394"/>
      <c r="U19" s="397"/>
      <c r="V19" s="112">
        <f>SUM(J13:J15,L13:L15,N13:N15,P13:P15,R13:R15,T13:T15)</f>
        <v>3</v>
      </c>
      <c r="W19" s="37"/>
      <c r="X19" s="393" t="s">
        <v>131</v>
      </c>
      <c r="Y19" s="394"/>
      <c r="Z19" s="397"/>
      <c r="AA19" s="112">
        <v>1</v>
      </c>
    </row>
    <row r="20" spans="2:37" ht="18" customHeight="1" thickBot="1" ns2:dyDescent="0.35">
      <c r="C20" s="485"/>
      <c r="D20" s="488"/>
      <c r="E20" s="452" t="s">
        <v>29</v>
      </c>
      <c r="F20" s="458"/>
      <c r="G20" s="452" t="s">
        <v>13</v>
      </c>
      <c r="H20" s="454"/>
      <c r="I20" s="393" t="s">
        <v>87</v>
      </c>
      <c r="J20" s="397"/>
      <c r="K20" s="522"/>
      <c r="L20" s="37"/>
      <c r="M20" s="498" t="s">
        <v>154</v>
      </c>
      <c r="N20" s="499"/>
      <c r="O20" s="301"/>
      <c r="P20" s="509"/>
      <c r="Q20" s="510"/>
      <c r="R20" s="114"/>
      <c r="S20" s="393" t="s">
        <v>142</v>
      </c>
      <c r="T20" s="394"/>
      <c r="U20" s="397"/>
      <c r="V20" s="112">
        <f>SUM(W13:W15,Y13:Y15,AA13:AA15)</f>
        <v>13</v>
      </c>
      <c r="W20" s="37"/>
      <c r="X20" s="393" t="s">
        <v>130</v>
      </c>
      <c r="Y20" s="394"/>
      <c r="Z20" s="397"/>
      <c r="AA20" s="112">
        <v>5</v>
      </c>
    </row>
    <row r="21" spans="2:37" ht="18" customHeight="1" thickBot="1" ns2:dyDescent="0.35">
      <c r="C21" s="486"/>
      <c r="D21" s="489"/>
      <c r="E21" s="115" t="s">
        <v>38</v>
      </c>
      <c r="F21" s="115" t="s">
        <v>37</v>
      </c>
      <c r="G21" s="116" t="s">
        <v>38</v>
      </c>
      <c r="H21" s="117" t="s">
        <v>37</v>
      </c>
      <c r="I21" s="117" t="s">
        <v>38</v>
      </c>
      <c r="J21" s="118" t="s">
        <v>37</v>
      </c>
      <c r="K21" s="523"/>
      <c r="L21" s="37"/>
      <c r="M21" s="493" t="s">
        <v>43</v>
      </c>
      <c r="N21" s="494"/>
      <c r="O21" s="302"/>
      <c r="P21" s="412"/>
      <c r="Q21" s="413"/>
      <c r="R21" s="119"/>
      <c r="S21" s="389" t="s">
        <v>267</v>
      </c>
      <c r="T21" s="390"/>
      <c r="U21" s="391"/>
      <c r="V21" s="112">
        <f>SUM(E13:E15,G13,J13:J15,L13:L15,N13:N15,P13:P15,R13:R15,T13:T15,W13:W15,Y13:Y15,AA13:AA15)</f>
        <v>44</v>
      </c>
      <c r="W21" s="37"/>
      <c r="X21" s="393" t="s">
        <v>133</v>
      </c>
      <c r="Y21" s="394"/>
      <c r="Z21" s="397"/>
      <c r="AA21" s="112"/>
    </row>
    <row r="22" spans="2:37" ht="18" customHeight="1" thickTop="1" thickBot="1" ns2:dyDescent="0.35">
      <c r="C22" s="178" t="s">
        <v>171</v>
      </c>
      <c r="D22" s="286"/>
      <c r="E22" s="287"/>
      <c r="F22" s="288"/>
      <c r="G22" s="289"/>
      <c r="H22" s="76"/>
      <c r="I22" s="76"/>
      <c r="J22" s="153"/>
      <c r="K22" s="158">
        <f t="shared" ref="K22:K41" si="0">SUM(E22:F22)</f>
        <v>0</v>
      </c>
      <c r="L22" s="37"/>
      <c r="M22" s="418" t="s">
        <v>44</v>
      </c>
      <c r="N22" s="419"/>
      <c r="O22" s="303"/>
      <c r="P22" s="412"/>
      <c r="Q22" s="413"/>
      <c r="R22" s="37"/>
      <c r="S22" s="389" t="s">
        <v>270</v>
      </c>
      <c r="T22" s="390"/>
      <c r="U22" s="391"/>
      <c r="V22" s="112">
        <f>SUM(COUNTIFS('الجهاز التدريسي'!C4:C20,"&lt;&gt;"))</f>
        <v>17</v>
      </c>
      <c r="W22" s="37"/>
      <c r="X22" s="389"/>
      <c r="Y22" s="390"/>
      <c r="Z22" s="391"/>
      <c r="AA22" s="120"/>
      <c r="AI22" s="145"/>
      <c r="AJ22" s="145"/>
      <c r="AK22" s="145"/>
    </row>
    <row r="23" spans="2:37" ht="18" customHeight="1" thickBot="1" ns2:dyDescent="0.35">
      <c r="C23" s="178" t="s">
        <v>14</v>
      </c>
      <c r="D23" s="290"/>
      <c r="E23" s="291"/>
      <c r="F23" s="292"/>
      <c r="G23" s="289"/>
      <c r="H23" s="76"/>
      <c r="I23" s="76"/>
      <c r="J23" s="153"/>
      <c r="K23" s="158">
        <f t="shared" si="0"/>
        <v>117</v>
      </c>
      <c r="L23" s="37"/>
      <c r="M23" s="418" t="s">
        <v>49</v>
      </c>
      <c r="N23" s="419"/>
      <c r="O23" s="303"/>
      <c r="P23" s="363"/>
      <c r="Q23" s="364"/>
      <c r="R23"/>
      <c r="S23" s="389" t="s">
        <v>268</v>
      </c>
      <c r="T23" s="390"/>
      <c r="U23" s="391"/>
      <c r="V23" s="112">
        <f>V22-V21</f>
        <v>-27</v>
      </c>
      <c r="W23"/>
      <c r="X23" s="393" t="s">
        <v>163</v>
      </c>
      <c r="Y23" s="394"/>
      <c r="Z23" s="397"/>
      <c r="AA23" s="158"/>
      <c r="AB23"/>
      <c r="AI23" s="145"/>
      <c r="AJ23" s="145"/>
      <c r="AK23" s="145"/>
    </row>
    <row r="24" spans="2:37" ht="18" customHeight="1" thickBot="1" ns2:dyDescent="0.35">
      <c r="C24" s="178" t="s">
        <v>15</v>
      </c>
      <c r="D24" s="290"/>
      <c r="E24" s="291"/>
      <c r="F24" s="292"/>
      <c r="G24" s="289"/>
      <c r="H24" s="76"/>
      <c r="I24" s="76"/>
      <c r="J24" s="153"/>
      <c r="K24" s="158">
        <f>SUM(E24:F24)</f>
        <v>68</v>
      </c>
      <c r="L24" s="37"/>
      <c r="M24" s="437" t="s">
        <v>157</v>
      </c>
      <c r="N24" s="438"/>
      <c r="O24" s="303"/>
      <c r="P24" s="412"/>
      <c r="Q24" s="413"/>
      <c r="R24"/>
      <c r="S24" s="110"/>
      <c r="T24" s="37"/>
      <c r="U24" s="37"/>
      <c r="V24" s="110"/>
      <c r="W24" s="110"/>
      <c r="X24" s="37"/>
      <c r="Y24" s="37"/>
      <c r="Z24" s="37"/>
      <c r="AA24" s="37"/>
      <c r="AB24"/>
      <c r="AI24" s="145"/>
      <c r="AJ24" s="145"/>
      <c r="AK24" s="145"/>
    </row>
    <row r="25" spans="2:37" ht="18" customHeight="1" thickBot="1" ns2:dyDescent="0.45">
      <c r="C25" s="178" t="s">
        <v>16</v>
      </c>
      <c r="D25" s="290"/>
      <c r="E25" s="291"/>
      <c r="F25" s="292"/>
      <c r="G25" s="289"/>
      <c r="H25" s="35"/>
      <c r="I25" s="35"/>
      <c r="J25" s="74"/>
      <c r="K25" s="158">
        <f t="shared" si="0"/>
        <v>100</v>
      </c>
      <c r="L25" s="37"/>
      <c r="M25" s="418" t="s">
        <v>45</v>
      </c>
      <c r="N25" s="419"/>
      <c r="O25" s="303"/>
      <c r="P25" s="412"/>
      <c r="Q25" s="413"/>
      <c r="R25" s="519" t="s">
        <v>34</v>
      </c>
      <c r="S25" s="520"/>
      <c r="T25"/>
      <c r="U25"/>
      <c r="V25"/>
      <c r="W25"/>
      <c r="X25" s="37"/>
      <c r="Y25" s="37"/>
      <c r="Z25" s="37"/>
      <c r="AA25" s="37"/>
      <c r="AB25"/>
      <c r="AI25" s="145"/>
      <c r="AJ25" s="145"/>
      <c r="AK25" s="145"/>
    </row>
    <row r="26" spans="2:37" ht="18" customHeight="1" thickBot="1" ns2:dyDescent="0.35">
      <c r="C26" s="178" t="s">
        <v>17</v>
      </c>
      <c r="D26" s="290"/>
      <c r="E26" s="291"/>
      <c r="F26" s="292"/>
      <c r="G26" s="289"/>
      <c r="H26" s="35"/>
      <c r="I26" s="35"/>
      <c r="J26" s="74"/>
      <c r="K26" s="158">
        <f t="shared" si="0"/>
        <v>90</v>
      </c>
      <c r="L26" s="37"/>
      <c r="M26" s="437" t="s">
        <v>158</v>
      </c>
      <c r="N26" s="438"/>
      <c r="O26" s="303"/>
      <c r="P26" s="363"/>
      <c r="Q26" s="364"/>
      <c r="R26" s="122"/>
      <c r="S26" s="500" t="s">
        <v>292</v>
      </c>
      <c r="T26" s="500"/>
      <c r="U26" s="500"/>
      <c r="V26" s="500"/>
      <c r="W26" s="500"/>
      <c r="X26" s="500"/>
      <c r="Y26" s="500"/>
      <c r="Z26" s="500"/>
      <c r="AA26" s="500"/>
      <c r="AB26"/>
      <c r="AI26" s="145"/>
      <c r="AJ26" s="145"/>
      <c r="AK26" s="145"/>
    </row>
    <row r="27" spans="2:37" ht="18" customHeight="1" thickBot="1" ns2:dyDescent="0.35">
      <c r="C27" s="178" t="s">
        <v>18</v>
      </c>
      <c r="D27" s="290"/>
      <c r="E27" s="291"/>
      <c r="F27" s="292"/>
      <c r="G27" s="289"/>
      <c r="H27" s="35"/>
      <c r="I27" s="35"/>
      <c r="J27" s="74"/>
      <c r="K27" s="158">
        <f t="shared" si="0"/>
        <v>90</v>
      </c>
      <c r="L27" s="37"/>
      <c r="M27" s="418" t="s">
        <v>248</v>
      </c>
      <c r="N27" s="419"/>
      <c r="O27" s="303"/>
      <c r="P27" s="412"/>
      <c r="Q27" s="413"/>
      <c r="S27" s="500"/>
      <c r="T27" s="500"/>
      <c r="U27" s="500"/>
      <c r="V27" s="500"/>
      <c r="W27" s="500"/>
      <c r="X27" s="500"/>
      <c r="Y27" s="500"/>
      <c r="Z27" s="500"/>
      <c r="AA27" s="500"/>
      <c r="AB27"/>
      <c r="AI27" s="145"/>
      <c r="AJ27" s="145"/>
      <c r="AK27" s="145"/>
    </row>
    <row r="28" spans="2:37" ht="18" customHeight="1" thickBot="1" ns2:dyDescent="0.35">
      <c r="C28" s="178" t="s">
        <v>62</v>
      </c>
      <c r="D28" s="290"/>
      <c r="E28" s="291"/>
      <c r="F28" s="292"/>
      <c r="G28" s="289"/>
      <c r="H28" s="35"/>
      <c r="I28" s="35"/>
      <c r="J28" s="74"/>
      <c r="K28" s="158">
        <f t="shared" si="0"/>
        <v>92</v>
      </c>
      <c r="M28" s="437" t="s">
        <v>249</v>
      </c>
      <c r="N28" s="438"/>
      <c r="O28" s="303"/>
      <c r="P28" s="412"/>
      <c r="Q28" s="413"/>
      <c r="S28" s="500"/>
      <c r="T28" s="500"/>
      <c r="U28" s="500"/>
      <c r="V28" s="500"/>
      <c r="W28" s="500"/>
      <c r="X28" s="500"/>
      <c r="Y28" s="500"/>
      <c r="Z28" s="500"/>
      <c r="AA28" s="500"/>
      <c r="AI28" s="145"/>
      <c r="AJ28" s="145"/>
      <c r="AK28" s="145"/>
    </row>
    <row r="29" spans="2:37" ht="18" customHeight="1" thickBot="1" ns2:dyDescent="0.35">
      <c r="C29" s="178" t="s">
        <v>65</v>
      </c>
      <c r="D29" s="290"/>
      <c r="E29" s="291"/>
      <c r="F29" s="292"/>
      <c r="G29" s="289"/>
      <c r="H29" s="35"/>
      <c r="I29" s="35"/>
      <c r="J29" s="74"/>
      <c r="K29" s="158">
        <f t="shared" si="0"/>
        <v>0</v>
      </c>
      <c r="M29" s="418" t="s">
        <v>250</v>
      </c>
      <c r="N29" s="419"/>
      <c r="O29" s="303"/>
      <c r="P29" s="363"/>
      <c r="Q29" s="364"/>
      <c r="S29" s="362" t="s">
        <v>311</v>
      </c>
      <c r="T29" s="436"/>
      <c r="U29" s="436"/>
      <c r="V29" s="436"/>
      <c r="W29" s="436"/>
      <c r="X29" s="436"/>
      <c r="Y29" s="436"/>
      <c r="Z29" s="436"/>
      <c r="AA29" s="436"/>
    </row>
    <row r="30" spans="2:37" ht="18" customHeight="1" thickBot="1" ns2:dyDescent="0.35">
      <c r="C30" s="178" t="s">
        <v>66</v>
      </c>
      <c r="D30" s="290"/>
      <c r="E30" s="291"/>
      <c r="F30" s="292"/>
      <c r="G30" s="289"/>
      <c r="H30" s="35"/>
      <c r="I30" s="35"/>
      <c r="J30" s="74"/>
      <c r="K30" s="158">
        <f t="shared" si="0"/>
        <v>0</v>
      </c>
      <c r="M30" s="437" t="s">
        <v>251</v>
      </c>
      <c r="N30" s="438"/>
      <c r="O30" s="304"/>
      <c r="P30" s="412"/>
      <c r="Q30" s="413"/>
      <c r="S30" s="436"/>
      <c r="T30" s="436"/>
      <c r="U30" s="436"/>
      <c r="V30" s="436"/>
      <c r="W30" s="436"/>
      <c r="X30" s="436"/>
      <c r="Y30" s="436"/>
      <c r="Z30" s="436"/>
      <c r="AA30" s="436"/>
    </row>
    <row r="31" spans="2:37" ht="20.25" customHeight="1" thickBot="1" ns2:dyDescent="0.35">
      <c r="C31" s="178" t="s">
        <v>67</v>
      </c>
      <c r="D31" s="293"/>
      <c r="E31" s="294"/>
      <c r="F31" s="295"/>
      <c r="G31" s="296"/>
      <c r="H31" s="63"/>
      <c r="I31" s="63"/>
      <c r="J31" s="64"/>
      <c r="K31" s="158">
        <f t="shared" si="0"/>
        <v>0</v>
      </c>
      <c r="M31" s="418" t="s">
        <v>21</v>
      </c>
      <c r="N31" s="419"/>
      <c r="O31" s="304"/>
      <c r="P31" s="426"/>
      <c r="Q31" s="427"/>
      <c r="S31" s="392" t="s">
        <v>258</v>
      </c>
      <c r="T31" s="392"/>
      <c r="U31" s="392"/>
      <c r="V31" s="392"/>
      <c r="W31" s="392"/>
      <c r="X31" s="392"/>
      <c r="Y31" s="392"/>
      <c r="Z31" s="392"/>
      <c r="AA31" s="392"/>
    </row>
    <row r="32" spans="2:37" ht="19.5" customHeight="1" thickTop="1" thickBot="1" ns2:dyDescent="0.35">
      <c r="B32" s="401" t="s">
        <v>176</v>
      </c>
      <c r="C32" s="179" t="s">
        <v>159</v>
      </c>
      <c r="D32" s="297"/>
      <c r="E32" s="297"/>
      <c r="F32" s="298"/>
      <c r="G32" s="299"/>
      <c r="H32" s="83"/>
      <c r="I32" s="83"/>
      <c r="J32" s="152"/>
      <c r="K32" s="158">
        <f t="shared" si="0"/>
        <v>102</v>
      </c>
      <c r="M32" s="437" t="s">
        <v>172</v>
      </c>
      <c r="N32" s="438"/>
      <c r="O32" s="304"/>
      <c r="P32" s="426"/>
      <c r="Q32" s="427"/>
      <c r="S32" s="362" t="s">
        <v>293</v>
      </c>
      <c r="T32" s="436"/>
      <c r="U32" s="436"/>
      <c r="V32" s="436"/>
      <c r="W32" s="436"/>
      <c r="X32" s="436"/>
      <c r="Y32" s="436"/>
      <c r="Z32" s="436"/>
      <c r="AA32" s="436"/>
    </row>
    <row r="33" spans="2:28" ht="18" customHeight="1" thickBot="1" ns2:dyDescent="0.35">
      <c r="B33" s="402"/>
      <c r="C33" s="179" t="s">
        <v>160</v>
      </c>
      <c r="D33" s="294"/>
      <c r="E33" s="294"/>
      <c r="F33" s="295"/>
      <c r="G33" s="300"/>
      <c r="H33" s="63"/>
      <c r="I33" s="63"/>
      <c r="J33" s="64"/>
      <c r="K33" s="158">
        <f t="shared" si="0"/>
        <v>33</v>
      </c>
      <c r="M33" s="418" t="s">
        <v>151</v>
      </c>
      <c r="N33" s="419"/>
      <c r="O33" s="304"/>
      <c r="P33" s="426"/>
      <c r="Q33" s="427"/>
      <c r="S33" s="436"/>
      <c r="T33" s="436"/>
      <c r="U33" s="436"/>
      <c r="V33" s="436"/>
      <c r="W33" s="436"/>
      <c r="X33" s="436"/>
      <c r="Y33" s="436"/>
      <c r="Z33" s="436"/>
      <c r="AA33" s="436"/>
      <c r="AB33" s="75"/>
    </row>
    <row r="34" spans="2:28" ht="18" customHeight="1" thickBot="1" ns2:dyDescent="0.35">
      <c r="B34" s="402"/>
      <c r="C34" s="179" t="s">
        <v>161</v>
      </c>
      <c r="D34" s="294"/>
      <c r="E34" s="294"/>
      <c r="F34" s="295"/>
      <c r="G34" s="300"/>
      <c r="H34" s="63"/>
      <c r="I34" s="63"/>
      <c r="J34" s="64"/>
      <c r="K34" s="158">
        <f t="shared" si="0"/>
        <v>13</v>
      </c>
      <c r="M34" s="418" t="s">
        <v>232</v>
      </c>
      <c r="N34" s="419"/>
      <c r="O34" s="304"/>
      <c r="P34" s="426"/>
      <c r="Q34" s="427"/>
      <c r="R34" s="4"/>
      <c r="S34" s="362" t="s">
        <v>247</v>
      </c>
      <c r="T34" s="362"/>
      <c r="U34" s="362"/>
      <c r="V34" s="362"/>
      <c r="W34" s="362"/>
      <c r="X34" s="362"/>
      <c r="Y34" s="362"/>
      <c r="Z34" s="362"/>
      <c r="AA34" s="362"/>
      <c r="AB34" s="75"/>
    </row>
    <row r="35" spans="2:28" ht="18" customHeight="1" thickBot="1" ns2:dyDescent="0.35">
      <c r="B35" s="403"/>
      <c r="C35" s="179" t="s">
        <v>162</v>
      </c>
      <c r="D35" s="162"/>
      <c r="E35" s="162"/>
      <c r="F35" s="163"/>
      <c r="G35" s="84"/>
      <c r="H35" s="85"/>
      <c r="I35" s="85"/>
      <c r="J35" s="151"/>
      <c r="K35" s="158">
        <f t="shared" si="0"/>
        <v>0</v>
      </c>
      <c r="M35" s="416" t="s">
        <v>233</v>
      </c>
      <c r="N35" s="417"/>
      <c r="O35" s="304"/>
      <c r="P35" s="426"/>
      <c r="Q35" s="427"/>
      <c r="S35" s="362"/>
      <c r="T35" s="362"/>
      <c r="U35" s="362"/>
      <c r="V35" s="362"/>
      <c r="W35" s="362"/>
      <c r="X35" s="362"/>
      <c r="Y35" s="362"/>
      <c r="Z35" s="362"/>
      <c r="AA35" s="362"/>
      <c r="AB35" s="75"/>
    </row>
    <row r="36" spans="2:28" ht="18" customHeight="1" thickBot="1" ns2:dyDescent="0.35">
      <c r="C36" s="178" t="s">
        <v>219</v>
      </c>
      <c r="D36" s="167"/>
      <c r="E36" s="164"/>
      <c r="F36" s="165"/>
      <c r="G36" s="80"/>
      <c r="H36" s="81"/>
      <c r="I36" s="81"/>
      <c r="J36" s="82"/>
      <c r="K36" s="158">
        <f t="shared" si="0"/>
        <v>0</v>
      </c>
      <c r="M36" s="418" t="s">
        <v>170</v>
      </c>
      <c r="N36" s="419"/>
      <c r="O36" s="305"/>
      <c r="P36" s="426"/>
      <c r="Q36" s="427"/>
      <c r="S36" s="442" t="s">
        <v>294</v>
      </c>
      <c r="T36" s="442"/>
      <c r="U36" s="442"/>
      <c r="V36" s="442"/>
      <c r="W36" s="442"/>
      <c r="X36" s="442"/>
      <c r="Y36" s="442"/>
      <c r="Z36" s="442"/>
      <c r="AA36" s="442"/>
      <c r="AB36" s="75"/>
    </row>
    <row r="37" spans="2:28" ht="18" customHeight="1" thickBot="1" ns2:dyDescent="0.35">
      <c r="C37" s="179" t="s">
        <v>222</v>
      </c>
      <c r="D37" s="166"/>
      <c r="E37" s="160"/>
      <c r="F37" s="161"/>
      <c r="G37" s="62"/>
      <c r="H37" s="63"/>
      <c r="I37" s="63"/>
      <c r="J37" s="64"/>
      <c r="K37" s="158">
        <f t="shared" si="0"/>
        <v>0</v>
      </c>
      <c r="L37" s="4"/>
      <c r="M37" s="428"/>
      <c r="N37" s="429"/>
      <c r="O37" s="181"/>
      <c r="P37" s="434"/>
      <c r="Q37" s="435"/>
      <c r="S37" s="442"/>
      <c r="T37" s="442"/>
      <c r="U37" s="442"/>
      <c r="V37" s="442"/>
      <c r="W37" s="442"/>
      <c r="X37" s="442"/>
      <c r="Y37" s="442"/>
      <c r="Z37" s="442"/>
      <c r="AA37" s="442"/>
    </row>
    <row r="38" spans="2:28" ht="18" customHeight="1" thickBot="1" ns2:dyDescent="0.35">
      <c r="C38" s="178" t="s">
        <v>220</v>
      </c>
      <c r="D38" s="166"/>
      <c r="E38" s="160"/>
      <c r="F38" s="161"/>
      <c r="G38" s="62"/>
      <c r="H38" s="63"/>
      <c r="I38" s="63"/>
      <c r="J38" s="64"/>
      <c r="K38" s="158">
        <f t="shared" si="0"/>
        <v>0</v>
      </c>
      <c r="M38" s="414" t="s">
        <v>144</v>
      </c>
      <c r="N38" s="415"/>
      <c r="O38" s="121">
        <f>SUM(O20:O37)</f>
        <v>6</v>
      </c>
      <c r="P38" s="805"/>
      <c r="Q38" s="430"/>
      <c r="R38" s="79" t="s">
        <v>225</v>
      </c>
      <c r="S38" s="361" t="s">
        <v>295</v>
      </c>
      <c r="T38" s="361"/>
      <c r="U38" s="361"/>
      <c r="V38" s="361"/>
      <c r="W38" s="361"/>
      <c r="X38" s="361"/>
      <c r="Y38" s="361"/>
      <c r="Z38" s="361"/>
      <c r="AA38" s="361"/>
    </row>
    <row r="39" spans="2:28" ht="18" customHeight="1" thickBot="1" ns2:dyDescent="0.35">
      <c r="C39" s="179" t="s">
        <v>223</v>
      </c>
      <c r="D39" s="166"/>
      <c r="E39" s="160"/>
      <c r="F39" s="161"/>
      <c r="G39" s="62"/>
      <c r="H39" s="63"/>
      <c r="I39" s="63"/>
      <c r="J39" s="64"/>
      <c r="K39" s="158">
        <f t="shared" si="0"/>
        <v>0</v>
      </c>
      <c r="M39" s="119"/>
      <c r="N39" s="119"/>
      <c r="O39" s="37"/>
      <c r="P39" s="119"/>
      <c r="Q39" s="37"/>
      <c r="S39" s="361"/>
      <c r="T39" s="361"/>
      <c r="U39" s="361"/>
      <c r="V39" s="361"/>
      <c r="W39" s="361"/>
      <c r="X39" s="361"/>
      <c r="Y39" s="361"/>
      <c r="Z39" s="361"/>
      <c r="AA39" s="361"/>
    </row>
    <row r="40" spans="2:28" ht="18" customHeight="1" thickBot="1" ns2:dyDescent="0.35">
      <c r="C40" s="179" t="s">
        <v>221</v>
      </c>
      <c r="D40" s="166"/>
      <c r="E40" s="160"/>
      <c r="F40" s="161"/>
      <c r="G40" s="62"/>
      <c r="H40" s="63"/>
      <c r="I40" s="63"/>
      <c r="J40" s="64"/>
      <c r="K40" s="158">
        <f t="shared" si="0"/>
        <v>0</v>
      </c>
      <c r="M40" s="37"/>
      <c r="N40" s="37"/>
      <c r="O40" s="37"/>
      <c r="P40" s="37"/>
      <c r="Q40" s="37"/>
      <c r="S40" s="125"/>
      <c r="T40" s="125"/>
      <c r="U40" s="125"/>
      <c r="V40" s="125"/>
      <c r="W40" s="125"/>
      <c r="X40" s="125"/>
      <c r="Y40" s="125"/>
      <c r="Z40" s="125"/>
      <c r="AA40" s="125"/>
    </row>
    <row r="41" spans="2:28" ht="18" customHeight="1" thickBot="1" ns2:dyDescent="0.35">
      <c r="C41" s="180" t="s">
        <v>224</v>
      </c>
      <c r="D41" s="168"/>
      <c r="E41" s="160"/>
      <c r="F41" s="161"/>
      <c r="G41" s="62"/>
      <c r="H41" s="63"/>
      <c r="I41" s="63"/>
      <c r="J41" s="64"/>
      <c r="K41" s="158">
        <f t="shared" si="0"/>
        <v>0</v>
      </c>
      <c r="M41" s="37"/>
      <c r="N41" s="37"/>
      <c r="O41" s="37"/>
      <c r="P41" s="37"/>
      <c r="Q41" s="37"/>
      <c r="R41" s="79"/>
      <c r="S41" s="126"/>
      <c r="T41" s="126"/>
      <c r="U41" s="126"/>
      <c r="V41" s="126"/>
      <c r="W41" s="126"/>
      <c r="X41" s="126"/>
      <c r="Y41" s="126"/>
      <c r="Z41" s="126"/>
      <c r="AA41" s="126"/>
    </row>
    <row r="42" spans="2:28" ht="18" customHeight="1" thickBot="1" ns2:dyDescent="0.35">
      <c r="C42" s="157" t="s">
        <v>31</v>
      </c>
      <c r="D42" s="175">
        <f t="shared" ref="D42:J42" si="1">SUM(D22:D41)</f>
        <v>22</v>
      </c>
      <c r="E42" s="176">
        <f t="shared" si="1"/>
        <v>347</v>
      </c>
      <c r="F42" s="176">
        <f t="shared" si="1"/>
        <v>358</v>
      </c>
      <c r="G42" s="176">
        <f t="shared" si="1"/>
        <v>0</v>
      </c>
      <c r="H42" s="176">
        <f t="shared" si="1"/>
        <v>0</v>
      </c>
      <c r="I42" s="176">
        <f t="shared" si="1"/>
        <v>0</v>
      </c>
      <c r="J42" s="176">
        <f t="shared" si="1"/>
        <v>0</v>
      </c>
      <c r="K42" s="158"/>
      <c r="M42" s="37"/>
      <c r="N42" s="37"/>
      <c r="O42" s="37"/>
      <c r="P42" s="37"/>
      <c r="Q42" s="37"/>
      <c r="S42" s="126"/>
      <c r="T42" s="126"/>
      <c r="U42" s="126"/>
      <c r="V42" s="126"/>
      <c r="W42" s="126"/>
      <c r="X42" s="126"/>
      <c r="Y42" s="126"/>
      <c r="Z42" s="126"/>
      <c r="AA42" s="126"/>
    </row>
    <row r="43" spans="2:28" ht="18" customHeight="1" thickBot="1" ns2:dyDescent="0.35">
      <c r="C43" s="404" t="s">
        <v>96</v>
      </c>
      <c r="D43" s="405"/>
      <c r="E43" s="405"/>
      <c r="F43" s="408">
        <f>SUM(K22:K41)</f>
        <v>705</v>
      </c>
      <c r="G43" s="409"/>
      <c r="H43" s="177" t="s">
        <v>168</v>
      </c>
      <c r="I43" s="44">
        <f>SUM(K23:K28)</f>
        <v>557</v>
      </c>
      <c r="J43" s="177" t="s">
        <v>167</v>
      </c>
      <c r="K43" s="44">
        <f>SUM(K29:K31)</f>
        <v>0</v>
      </c>
      <c r="N43" s="431" t="s">
        <v>141</v>
      </c>
      <c r="O43" s="432"/>
      <c r="P43" s="432"/>
      <c r="Q43" s="432"/>
      <c r="R43" s="432"/>
      <c r="S43" s="433"/>
      <c r="V43" s="431" t="s">
        <v>134</v>
      </c>
      <c r="W43" s="432"/>
      <c r="X43" s="432"/>
      <c r="Y43" s="432"/>
      <c r="Z43" s="432"/>
      <c r="AA43" s="433"/>
    </row>
    <row r="44" spans="2:28" ht="18" customHeight="1" thickBot="1" ns2:dyDescent="0.35">
      <c r="C44" s="406"/>
      <c r="D44" s="407"/>
      <c r="E44" s="407"/>
      <c r="F44" s="410"/>
      <c r="G44" s="411"/>
      <c r="H44" s="177" t="s">
        <v>178</v>
      </c>
      <c r="I44" s="44">
        <f>SUM(K32:K35,K22)</f>
        <v>148</v>
      </c>
      <c r="J44" s="177" t="s">
        <v>177</v>
      </c>
      <c r="K44" s="44">
        <f>SUM(K36:K41)</f>
        <v>0</v>
      </c>
      <c r="N44" s="423" t="s">
        <v>68</v>
      </c>
      <c r="O44" s="424"/>
      <c r="P44" s="424"/>
      <c r="Q44" s="424"/>
      <c r="R44" s="424"/>
      <c r="S44" s="425"/>
      <c r="V44" s="208" t="s">
        <v>68</v>
      </c>
      <c r="W44" s="206"/>
      <c r="X44" s="439"/>
      <c r="Y44" s="440"/>
      <c r="Z44" s="440"/>
      <c r="AA44" s="441"/>
    </row>
    <row r="45" spans="2:28" ht="18" customHeight="1" ns2:dyDescent="0.3">
      <c r="C45" s="3"/>
      <c r="D45" s="3"/>
      <c r="E45" s="3"/>
      <c r="F45" s="3"/>
      <c r="G45" s="3"/>
      <c r="H45" s="3"/>
      <c r="N45" s="420" t="s">
        <v>135</v>
      </c>
      <c r="O45" s="421"/>
      <c r="P45" s="421"/>
      <c r="Q45" s="421"/>
      <c r="R45" s="421"/>
      <c r="S45" s="422"/>
      <c r="V45" s="420" t="s">
        <v>135</v>
      </c>
      <c r="W45" s="421"/>
      <c r="X45" s="421"/>
      <c r="Y45" s="421"/>
      <c r="Z45" s="421"/>
      <c r="AA45" s="422"/>
    </row>
    <row r="46" spans="2:28" ht="18" customHeight="1" ns2:dyDescent="0.3">
      <c r="U46" s="15"/>
      <c r="V46" s="15"/>
      <c r="W46" s="15"/>
      <c r="X46" s="15"/>
    </row>
  </sheetData>
  <customSheetViews>
    <customSheetView guid="{9B185263-2BD9-4D2A-A382-CDCDF12F5EF0}" scale="95" showPageBreaks="1" view="pageBreakPreview">
      <selection activeCell="M4" sqref="M4"/>
    </customSheetView>
  </customSheetViews>
  <mergeCells count="126">
    <mergeCell ref="C4:C5"/>
    <mergeCell ref="E3:I3"/>
    <mergeCell ref="U4:X4"/>
    <mergeCell ref="M30:N30"/>
    <mergeCell ref="P28:Q28"/>
    <mergeCell ref="M25:N25"/>
    <mergeCell ref="G6:I6"/>
    <mergeCell ref="J7:J8"/>
    <mergeCell ref="K6:N6"/>
    <mergeCell ref="K7:N8"/>
    <mergeCell ref="E10:G10"/>
    <mergeCell ref="K10:L10"/>
    <mergeCell ref="M24:N24"/>
    <mergeCell ref="P20:Q20"/>
    <mergeCell ref="P25:Q25"/>
    <mergeCell ref="G7:I8"/>
    <mergeCell ref="E7:F8"/>
    <mergeCell ref="H10:J10"/>
    <mergeCell ref="C9:T9"/>
    <mergeCell ref="C7:D8"/>
    <mergeCell ref="P23:Q23"/>
    <mergeCell ref="R25:S25"/>
    <mergeCell ref="E19:J19"/>
    <mergeCell ref="K18:K21"/>
    <mergeCell ref="C6:D6"/>
    <mergeCell ref="E11:G11"/>
    <mergeCell ref="T7:V8"/>
    <mergeCell ref="O7:Q8"/>
    <mergeCell ref="C1:AA2"/>
    <mergeCell ref="P31:Q31"/>
    <mergeCell ref="P19:Q19"/>
    <mergeCell ref="C19:C21"/>
    <mergeCell ref="D19:D21"/>
    <mergeCell ref="C12:AA12"/>
    <mergeCell ref="E20:F20"/>
    <mergeCell ref="M28:N28"/>
    <mergeCell ref="M11:N11"/>
    <mergeCell ref="E6:F6"/>
    <mergeCell ref="K11:L11"/>
    <mergeCell ref="M22:N22"/>
    <mergeCell ref="M23:N23"/>
    <mergeCell ref="M21:N21"/>
    <mergeCell ref="X23:Z23"/>
    <mergeCell ref="H13:H15"/>
    <mergeCell ref="G20:H20"/>
    <mergeCell ref="M20:N20"/>
    <mergeCell ref="S26:AA28"/>
    <mergeCell ref="S29:AA30"/>
    <mergeCell ref="C13:C15"/>
    <mergeCell ref="C16:F16"/>
    <mergeCell ref="H16:S16"/>
    <mergeCell ref="R7:S8"/>
    <mergeCell ref="M29:N29"/>
    <mergeCell ref="P27:Q27"/>
    <mergeCell ref="M10:N10"/>
    <mergeCell ref="M18:Q18"/>
    <mergeCell ref="H11:J11"/>
    <mergeCell ref="M19:N19"/>
    <mergeCell ref="I20:J20"/>
    <mergeCell ref="C18:J18"/>
    <mergeCell ref="C11:D11"/>
    <mergeCell ref="C10:D10"/>
    <mergeCell ref="V45:AA45"/>
    <mergeCell ref="N44:S44"/>
    <mergeCell ref="N45:S45"/>
    <mergeCell ref="U16:Z16"/>
    <mergeCell ref="P32:Q32"/>
    <mergeCell ref="M37:N37"/>
    <mergeCell ref="P38:Q38"/>
    <mergeCell ref="M31:N31"/>
    <mergeCell ref="P36:Q36"/>
    <mergeCell ref="V43:AA43"/>
    <mergeCell ref="N43:S43"/>
    <mergeCell ref="P37:Q37"/>
    <mergeCell ref="P35:Q35"/>
    <mergeCell ref="P33:Q33"/>
    <mergeCell ref="S32:AA33"/>
    <mergeCell ref="M33:N33"/>
    <mergeCell ref="M36:N36"/>
    <mergeCell ref="P34:Q34"/>
    <mergeCell ref="M32:N32"/>
    <mergeCell ref="P30:Q30"/>
    <mergeCell ref="M27:N27"/>
    <mergeCell ref="M26:N26"/>
    <mergeCell ref="X44:AA44"/>
    <mergeCell ref="S36:AA37"/>
    <mergeCell ref="C3:D3"/>
    <mergeCell ref="K3:L3"/>
    <mergeCell ref="T6:V6"/>
    <mergeCell ref="O6:Q6"/>
    <mergeCell ref="R6:S6"/>
    <mergeCell ref="W6:AA6"/>
    <mergeCell ref="B32:B35"/>
    <mergeCell ref="C43:E44"/>
    <mergeCell ref="F43:G44"/>
    <mergeCell ref="S20:U20"/>
    <mergeCell ref="X18:Z18"/>
    <mergeCell ref="X19:Z19"/>
    <mergeCell ref="X20:Z20"/>
    <mergeCell ref="S18:U18"/>
    <mergeCell ref="S19:U19"/>
    <mergeCell ref="P24:Q24"/>
    <mergeCell ref="P26:Q26"/>
    <mergeCell ref="X21:Z21"/>
    <mergeCell ref="X22:Z22"/>
    <mergeCell ref="M38:N38"/>
    <mergeCell ref="M35:N35"/>
    <mergeCell ref="M34:N34"/>
    <mergeCell ref="P21:Q21"/>
    <mergeCell ref="P22:Q22"/>
    <mergeCell ref="S38:AA39"/>
    <mergeCell ref="S34:AA35"/>
    <mergeCell ref="P29:Q29"/>
    <mergeCell ref="P3:Q4"/>
    <mergeCell ref="Y7:AA7"/>
    <mergeCell ref="Y8:AA8"/>
    <mergeCell ref="U13:U15"/>
    <mergeCell ref="W7:X7"/>
    <mergeCell ref="W8:X8"/>
    <mergeCell ref="U3:X3"/>
    <mergeCell ref="Y3:AA3"/>
    <mergeCell ref="Y4:AA4"/>
    <mergeCell ref="S21:U21"/>
    <mergeCell ref="S22:U22"/>
    <mergeCell ref="S23:U23"/>
    <mergeCell ref="S31:AA31"/>
  </mergeCells>
  <dataValidations xWindow="302" yWindow="289" count="9">
    <dataValidation type="decimal" allowBlank="1" showInputMessage="1" showErrorMessage="1" prompt="الرجاء اختيار رقم بين 1-9" sqref="C11:D11">
      <formula1>1</formula1>
      <formula2>9</formula2>
    </dataValidation>
    <dataValidation allowBlank="1" showInputMessage="1" showErrorMessage="1" promptTitle="تنبيه:" prompt="الرجاء الاجابة في حال كان مشترك  أو غير مشترك_x000a_مثال1: غير مشترك_x000a_مثال2: مشترك مع .." sqref="Y8:AA8"/>
    <dataValidation allowBlank="1" showInputMessage="1" showErrorMessage="1" promptTitle="تنبيه:" prompt="يرجى كتابة اسم المدرسة." sqref="K7:N8"/>
    <dataValidation type="decimal" allowBlank="1" showInputMessage="1" showErrorMessage="1" promptTitle="تنبيه هام جداً:" prompt="الرجاء كتابة العام الحالي._x000a_مثال: 2025_x000a_وعدم ترك الحقل فارغ." sqref="K3:L3">
      <formula1>1900</formula1>
      <formula2>2200</formula2>
    </dataValidation>
    <dataValidation allowBlank="1" showInputMessage="1" showErrorMessage="1" prompt="تتم تعبئة هذه الحقول من قبل موظف شعبة البيانات" sqref="Y3:Y4 R3:U4 O3:O4 P3"/>
    <dataValidation allowBlank="1" showInputMessage="1" showErrorMessage="1" promptTitle="تنبيه هام:" prompt="الرجاء الإجابة ب(نعم أو لا )وعدم ترك الجواب فارغ" sqref="W8:X8"/>
    <dataValidation allowBlank="1" showInputMessage="1" showErrorMessage="1" prompt="الرجاء عدم حذف او تغيير أي اسم او خانة في هذا العمود" sqref="C22:C41"/>
    <dataValidation type="decimal" allowBlank="1" showInputMessage="1" showErrorMessage="1" prompt="الرجاء كتابة عدد الشعب بشكل صحيح في كل حقل" sqref="D35:D41">
      <formula1>0</formula1>
      <formula2>99</formula2>
    </dataValidation>
    <dataValidation type="decimal" allowBlank="1" showInputMessage="1" showErrorMessage="1" sqref="H22:J41 E35:G41">
      <formula1>0</formula1>
      <formula2>999</formula2>
    </dataValidation>
  </dataValidations>
  <printOptions horizontalCentered="1" verticalCentered="1"/>
  <pageMargins left="0" right="0" top="0" bottom="0" header="0" footer="0"/>
  <extLst>
    <ext uri="{CCE6A557-97BC-4b89-ADB6-D9C93CAAB3DF}">
      <ns4:dataValidations xWindow="302" yWindow="289" count="5">
        <ns4:dataValidation type="list" allowBlank="1" showInputMessage="1" showErrorMessage="1" promptTitle="تنبيه هام جداً:" prompt="الرجاء اختيار اسم الشهر._x000a_مثال: 5 / مايو / أيار_x000a_الرجاء عدم ترك الحقل فارغ.">
          <ns4:formula1>
            <ns5:f>قوائم!$Z$3:$Z$15</ns5:f>
          </ns4:formula1>
          <ns5:sqref>E3:I3</ns5:sqref>
        </ns4:dataValidation>
        <ns4:dataValidation type="list" allowBlank="1" showInputMessage="1" showErrorMessage="1" promptTitle="تنبيه:" prompt="الرجاء اختيار الأجابة أذا كان الدوام (كامل أو نصفي)_x000a_وعدم ترك الخانة فارغة.">
          <ns4:formula1>
            <ns5:f>قوائم!$AC$3:$AC$4</ns5:f>
          </ns4:formula1>
          <ns5:sqref>Y7:AA7</ns5:sqref>
        </ns4:dataValidation>
        <ns4:dataValidation type="list" errorStyle="warning" allowBlank="1" showInputMessage="1" showErrorMessage="1" errorTitle="تنبيه:" error="الرجاء ادخال كلمة نعم أو لا فقط" promptTitle="تنبيه:" prompt="الرجاء اختر (نعم أو لا )_x000a_وعدم ترك الخانة فارغة.">
          <ns4:formula1>
            <ns5:f>قوائم!$AA$3:$AA$4</ns5:f>
          </ns4:formula1>
          <ns5:sqref>T7</ns5:sqref>
        </ns4:dataValidation>
        <ns4:dataValidation type="list" errorStyle="warning" allowBlank="1" showInputMessage="1" showErrorMessage="1" error="الرجاء اختيار احد المناطق." prompt="الرجاء اختيار احدى المناطق التعليمية.">
          <ns4:formula1>
            <ns5:f>'C:\Users\ASUS\Downloads\Telegram Desktop\[بيان_شهر_كانون_الثاني_مدرسة_طارق_بن_زياد.xlsx]قوائم'!#REF!</ns5:f>
          </ns4:formula1>
          <ns5:sqref>C7:D8</ns5:sqref>
        </ns4:dataValidation>
        <ns4:dataValidation type="list" allowBlank="1" showInputMessage="1" showErrorMessage="1">
          <ns4:formula1>
            <ns5:f>'C:\Users\ASUS\Downloads\Telegram Desktop\[بيان_شهر_كانون_الثاني_مدرسة_طارق_بن_زياد.xlsx]قوائم'!#REF!</ns5:f>
          </ns4:formula1>
          <ns5:sqref>J7:J8</ns5:sqref>
        </ns4:dataValidation>
      </ns4:dataValidations>
    </ext>
  </extLst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xmlns:ns4="http://schemas.microsoft.com/office/spreadsheetml/2009/9/main" xmlns:ns5="http://schemas.microsoft.com/office/excel/2006/main" ns1:Ignorable="x14ac">
  <sheetPr codeName="Worksheet____2">
    <tabColor rgb="FF0070C0"/>
    <pageSetUpPr fitToPage="1"/>
  </sheetPr>
  <dimension ref="A1:X573"/>
  <sheetViews>
    <sheetView showGridLines="0" rightToLeft="1" view="pageBreakPreview" zoomScaleNormal="100" zoomScaleSheetLayoutView="100" workbookViewId="0">
      <selection activeCell="U9" sqref="U9"/>
    </sheetView>
  </sheetViews>
  <sheetFormatPr defaultColWidth="12" defaultRowHeight="18" customHeight="1" ns2:dyDescent="0.3"/>
  <cols>
    <col min="1" max="1" width="4.88671875" style="21" customWidth="1"/>
    <col min="2" max="2" width="18" style="191" customWidth="1"/>
    <col min="3" max="3" width="19.109375" style="192" customWidth="1"/>
    <col min="4" max="4" width="7.88671875" style="189" customWidth="1"/>
    <col min="5" max="5" width="6.33203125" style="189" customWidth="1"/>
    <col min="6" max="6" width="6.109375" style="189" customWidth="1"/>
    <col min="7" max="7" width="6.33203125" style="189" customWidth="1"/>
    <col min="8" max="8" width="7.21875" style="189" customWidth="1"/>
    <col min="9" max="9" width="11.77734375" style="189" customWidth="1"/>
    <col min="10" max="10" width="7.88671875" style="189" customWidth="1"/>
    <col min="11" max="11" width="13.109375" style="189" customWidth="1"/>
    <col min="12" max="12" width="7.6640625" style="189" customWidth="1"/>
    <col min="13" max="13" width="3.88671875" style="189" customWidth="1"/>
    <col min="14" max="14" width="4.109375" style="189" customWidth="1"/>
    <col min="15" max="15" width="4.6640625" style="189" customWidth="1"/>
    <col min="16" max="16" width="13.33203125" style="284" customWidth="1"/>
    <col min="17" max="17" width="10.77734375" style="192" customWidth="1"/>
    <col min="18" max="18" width="10.33203125" style="189" customWidth="1"/>
    <col min="19" max="19" width="8.77734375" style="189" customWidth="1"/>
    <col min="20" max="20" width="7.88671875" style="189" customWidth="1"/>
    <col min="21" max="21" width="20.33203125" style="27" customWidth="1"/>
    <col min="22" max="22" width="2.44140625" style="189" customWidth="1"/>
    <col min="23" max="16384" width="12" style="189"/>
  </cols>
  <sheetData>
    <row r="1" spans="1:24" ht="24" customHeight="1" thickBot="1" ns2:dyDescent="0.35">
      <c r="A1" s="189"/>
      <c r="B1" s="183"/>
      <c r="C1" s="184" t="str">
        <f>البيان!$K$7</f>
        <v>طارق بن زياد</v>
      </c>
      <c r="D1" s="542"/>
      <c r="E1" s="542"/>
      <c r="F1" s="542"/>
      <c r="G1" s="542"/>
      <c r="H1" s="542"/>
      <c r="I1" s="185"/>
      <c r="J1" s="186"/>
      <c r="K1" s="541" t="s">
        <v>36</v>
      </c>
      <c r="L1" s="541"/>
      <c r="M1" s="541"/>
      <c r="N1" s="541"/>
      <c r="O1" s="541"/>
      <c r="P1" s="541"/>
      <c r="Q1" s="187"/>
      <c r="R1" s="185"/>
      <c r="S1" s="86" t="s">
        <v>155</v>
      </c>
      <c r="T1" s="86" t="str">
        <f>البيان!J7</f>
        <v>اولى</v>
      </c>
      <c r="U1" s="25"/>
      <c r="V1" s="19"/>
      <c r="W1" s="19"/>
      <c r="X1" s="19"/>
    </row>
    <row r="2" spans="1:24" ht="39" customHeight="1" thickBot="1" ns2:dyDescent="0.35">
      <c r="A2" s="524" t="s">
        <v>1</v>
      </c>
      <c r="B2" s="539" t="s">
        <v>180</v>
      </c>
      <c r="C2" s="535" t="s">
        <v>4</v>
      </c>
      <c r="D2" s="528" t="s">
        <v>91</v>
      </c>
      <c r="E2" s="543" t="s">
        <v>0</v>
      </c>
      <c r="F2" s="543"/>
      <c r="G2" s="543"/>
      <c r="H2" s="537" t="s">
        <v>153</v>
      </c>
      <c r="I2" s="537" t="s">
        <v>2</v>
      </c>
      <c r="J2" s="537" t="s">
        <v>3</v>
      </c>
      <c r="K2" s="537" t="s">
        <v>127</v>
      </c>
      <c r="L2" s="537" t="s">
        <v>33</v>
      </c>
      <c r="M2" s="530" t="s">
        <v>184</v>
      </c>
      <c r="N2" s="531"/>
      <c r="O2" s="532"/>
      <c r="P2" s="533" t="s">
        <v>35</v>
      </c>
      <c r="Q2" s="534"/>
      <c r="R2" s="526" t="s">
        <v>149</v>
      </c>
      <c r="S2" s="526" t="s">
        <v>126</v>
      </c>
      <c r="T2" s="526" t="s">
        <v>290</v>
      </c>
      <c r="U2" s="526" t="s">
        <v>289</v>
      </c>
      <c r="V2" s="19"/>
      <c r="W2" s="19"/>
      <c r="X2" s="19"/>
    </row>
    <row r="3" spans="1:24" ht="22.5" customHeight="1" thickBot="1" ns2:dyDescent="0.35">
      <c r="A3" s="525"/>
      <c r="B3" s="540"/>
      <c r="C3" s="536"/>
      <c r="D3" s="529"/>
      <c r="E3" s="87" t="s">
        <v>181</v>
      </c>
      <c r="F3" s="87" t="s">
        <v>182</v>
      </c>
      <c r="G3" s="87" t="s">
        <v>183</v>
      </c>
      <c r="H3" s="538"/>
      <c r="I3" s="538"/>
      <c r="J3" s="538"/>
      <c r="K3" s="538"/>
      <c r="L3" s="538"/>
      <c r="M3" s="89" t="s">
        <v>39</v>
      </c>
      <c r="N3" s="90" t="s">
        <v>40</v>
      </c>
      <c r="O3" s="90" t="s">
        <v>41</v>
      </c>
      <c r="P3" s="280" t="s">
        <v>61</v>
      </c>
      <c r="Q3" s="188" t="s">
        <v>42</v>
      </c>
      <c r="R3" s="527"/>
      <c r="S3" s="527"/>
      <c r="T3" s="527"/>
      <c r="U3" s="544"/>
      <c r="V3" s="19"/>
      <c r="W3" s="19"/>
      <c r="X3" s="19"/>
    </row>
    <row r="4" spans="1:24" s="194" customFormat="1" ht="20.100000000000001" customHeight="1" ns2:dyDescent="0.3">
      <c r="A4" s="57">
        <f>ROWS($A$4:A4)</f>
        <v>1</v>
      </c>
      <c r="B4" s="306"/>
      <c r="C4" s="307"/>
      <c r="D4" s="308"/>
      <c r="E4" s="309"/>
      <c r="F4" s="309"/>
      <c r="G4" s="309"/>
      <c r="H4" s="309"/>
      <c r="I4" s="308"/>
      <c r="J4" s="309"/>
      <c r="K4" s="309"/>
      <c r="L4" s="309"/>
      <c r="M4" s="309"/>
      <c r="N4" s="309"/>
      <c r="O4" s="309"/>
      <c r="P4" s="307"/>
      <c r="Q4" s="310"/>
      <c r="R4" s="308"/>
      <c r="S4" s="60"/>
      <c r="T4" s="309"/>
      <c r="U4" s="30"/>
      <c r="V4" s="193"/>
      <c r="W4" s="193"/>
      <c r="X4" s="193"/>
    </row>
    <row r="5" spans="1:24" s="21" customFormat="1" ht="20.100000000000001" customHeight="1" ns2:dyDescent="0.3">
      <c r="A5" s="57">
        <f>ROWS($A$4:A5)</f>
        <v>2</v>
      </c>
      <c r="B5" s="311"/>
      <c r="C5" s="310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10"/>
      <c r="Q5" s="310"/>
      <c r="R5" s="309"/>
      <c r="S5" s="60"/>
      <c r="T5" s="309"/>
      <c r="U5" s="30"/>
      <c r="V5" s="20"/>
      <c r="W5" s="20"/>
      <c r="X5" s="20"/>
    </row>
    <row r="6" spans="1:24" s="21" customFormat="1" ht="20.100000000000001" customHeight="1" ns2:dyDescent="0.3">
      <c r="A6" s="57">
        <f>ROWS($A$4:A6)</f>
        <v>3</v>
      </c>
      <c r="B6" s="311"/>
      <c r="C6" s="310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10"/>
      <c r="Q6" s="310"/>
      <c r="R6" s="309"/>
      <c r="S6" s="60"/>
      <c r="T6" s="309"/>
      <c r="U6" s="30"/>
      <c r="V6" s="20"/>
      <c r="W6" s="20"/>
      <c r="X6" s="20"/>
    </row>
    <row r="7" spans="1:24" s="21" customFormat="1" ht="20.100000000000001" customHeight="1" ns2:dyDescent="0.3">
      <c r="A7" s="57"/>
      <c r="B7" s="311"/>
      <c r="C7" s="310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10"/>
      <c r="Q7" s="310"/>
      <c r="R7" s="309"/>
      <c r="S7" s="60"/>
      <c r="T7" s="309"/>
      <c r="U7" s="30"/>
      <c r="V7" s="20"/>
      <c r="W7" s="20"/>
      <c r="X7" s="20"/>
    </row>
    <row r="8" spans="1:24" s="21" customFormat="1" ht="20.100000000000001" customHeight="1" ns2:dyDescent="0.3">
      <c r="A8" s="57">
        <f>ROWS($A$4:A8)</f>
        <v>5</v>
      </c>
      <c r="B8" s="311"/>
      <c r="C8" s="310"/>
      <c r="D8" s="309"/>
      <c r="E8" s="309"/>
      <c r="F8" s="309"/>
      <c r="G8" s="309"/>
      <c r="H8" s="309"/>
      <c r="I8" s="308"/>
      <c r="J8" s="309"/>
      <c r="K8" s="309"/>
      <c r="L8" s="309"/>
      <c r="M8" s="309"/>
      <c r="N8" s="309"/>
      <c r="O8" s="309"/>
      <c r="P8" s="310"/>
      <c r="Q8" s="310"/>
      <c r="R8" s="309"/>
      <c r="S8" s="60"/>
      <c r="T8" s="309"/>
      <c r="U8" s="30"/>
      <c r="V8" s="20"/>
      <c r="W8" s="20"/>
      <c r="X8" s="20"/>
    </row>
    <row r="9" spans="1:24" s="21" customFormat="1" ht="20.100000000000001" customHeight="1" ns2:dyDescent="0.3">
      <c r="A9" s="57">
        <f>ROWS($A$4:A9)</f>
        <v>6</v>
      </c>
      <c r="B9" s="311"/>
      <c r="C9" s="310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10"/>
      <c r="Q9" s="310"/>
      <c r="R9" s="309"/>
      <c r="S9" s="60"/>
      <c r="T9" s="309"/>
      <c r="U9" s="30"/>
      <c r="V9" s="20"/>
      <c r="W9" s="20"/>
      <c r="X9" s="20"/>
    </row>
    <row r="10" spans="1:24" s="21" customFormat="1" ht="20.100000000000001" customHeight="1" ns2:dyDescent="0.3">
      <c r="A10" s="57"/>
      <c r="B10" s="311"/>
      <c r="C10" s="310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10"/>
      <c r="Q10" s="310"/>
      <c r="R10" s="309"/>
      <c r="S10" s="60"/>
      <c r="T10" s="309"/>
      <c r="U10" s="30"/>
      <c r="V10" s="20"/>
      <c r="W10" s="20"/>
      <c r="X10" s="20"/>
    </row>
    <row r="11" spans="1:24" s="21" customFormat="1" ht="20.100000000000001" customHeight="1" ns2:dyDescent="0.3">
      <c r="A11" s="57">
        <f>ROWS($A$4:A11)</f>
        <v>8</v>
      </c>
      <c r="B11" s="133"/>
      <c r="C11" s="136"/>
      <c r="D11" s="32"/>
      <c r="E11" s="32"/>
      <c r="F11" s="32"/>
      <c r="G11" s="32"/>
      <c r="H11" s="60"/>
      <c r="I11" s="60"/>
      <c r="J11" s="32"/>
      <c r="K11" s="60"/>
      <c r="L11" s="32"/>
      <c r="M11" s="32"/>
      <c r="N11" s="32"/>
      <c r="O11" s="32"/>
      <c r="P11" s="277"/>
      <c r="Q11" s="136"/>
      <c r="R11" s="32"/>
      <c r="S11" s="60"/>
      <c r="T11" s="54"/>
      <c r="U11" s="30"/>
      <c r="V11" s="20"/>
      <c r="W11" s="20"/>
      <c r="X11" s="20"/>
    </row>
    <row r="12" spans="1:24" s="21" customFormat="1" ht="20.100000000000001" customHeight="1" ns2:dyDescent="0.3">
      <c r="A12" s="57">
        <f>ROWS($A$4:A12)</f>
        <v>9</v>
      </c>
      <c r="B12" s="133"/>
      <c r="C12" s="136"/>
      <c r="D12" s="32"/>
      <c r="E12" s="32"/>
      <c r="F12" s="32"/>
      <c r="G12" s="32"/>
      <c r="H12" s="60"/>
      <c r="I12" s="60"/>
      <c r="J12" s="32"/>
      <c r="K12" s="60"/>
      <c r="L12" s="32"/>
      <c r="M12" s="32"/>
      <c r="N12" s="32"/>
      <c r="O12" s="32"/>
      <c r="P12" s="277"/>
      <c r="Q12" s="136"/>
      <c r="R12" s="32"/>
      <c r="S12" s="60"/>
      <c r="T12" s="54"/>
      <c r="U12" s="30"/>
      <c r="V12" s="20"/>
      <c r="W12" s="20"/>
      <c r="X12" s="20"/>
    </row>
    <row r="13" spans="1:24" s="21" customFormat="1" ht="20.100000000000001" customHeight="1" ns2:dyDescent="0.3">
      <c r="A13" s="57">
        <f>ROWS($A$4:A13)</f>
        <v>10</v>
      </c>
      <c r="B13" s="133"/>
      <c r="C13" s="136"/>
      <c r="D13" s="32"/>
      <c r="E13" s="32"/>
      <c r="F13" s="32"/>
      <c r="G13" s="32"/>
      <c r="H13" s="60"/>
      <c r="I13" s="60"/>
      <c r="J13" s="32"/>
      <c r="K13" s="60"/>
      <c r="L13" s="32"/>
      <c r="M13" s="32"/>
      <c r="N13" s="32"/>
      <c r="O13" s="32"/>
      <c r="P13" s="277"/>
      <c r="Q13" s="136"/>
      <c r="R13" s="32"/>
      <c r="S13" s="60"/>
      <c r="T13" s="54"/>
      <c r="U13" s="30"/>
      <c r="V13" s="20"/>
      <c r="W13" s="20"/>
      <c r="X13" s="20"/>
    </row>
    <row r="14" spans="1:24" s="21" customFormat="1" ht="20.100000000000001" customHeight="1" ns2:dyDescent="0.3">
      <c r="A14" s="57">
        <f>ROWS($A$4:A14)</f>
        <v>11</v>
      </c>
      <c r="B14" s="133"/>
      <c r="C14" s="136"/>
      <c r="D14" s="32"/>
      <c r="E14" s="32"/>
      <c r="F14" s="32"/>
      <c r="G14" s="32"/>
      <c r="H14" s="60"/>
      <c r="I14" s="60"/>
      <c r="J14" s="32"/>
      <c r="K14" s="60"/>
      <c r="L14" s="32"/>
      <c r="M14" s="32"/>
      <c r="N14" s="32"/>
      <c r="O14" s="32"/>
      <c r="P14" s="277"/>
      <c r="Q14" s="136"/>
      <c r="R14" s="32"/>
      <c r="S14" s="60"/>
      <c r="T14" s="54"/>
      <c r="U14" s="30"/>
      <c r="V14" s="20"/>
      <c r="W14" s="20"/>
      <c r="X14" s="20"/>
    </row>
    <row r="15" spans="1:24" s="21" customFormat="1" ht="20.100000000000001" customHeight="1" ns2:dyDescent="0.3">
      <c r="A15" s="57">
        <f>ROWS($A$4:A15)</f>
        <v>12</v>
      </c>
      <c r="B15" s="133"/>
      <c r="C15" s="136"/>
      <c r="D15" s="32"/>
      <c r="E15" s="32"/>
      <c r="F15" s="32"/>
      <c r="G15" s="32"/>
      <c r="H15" s="60"/>
      <c r="I15" s="60"/>
      <c r="J15" s="32"/>
      <c r="K15" s="60"/>
      <c r="L15" s="32"/>
      <c r="M15" s="32"/>
      <c r="N15" s="32"/>
      <c r="O15" s="32"/>
      <c r="P15" s="277"/>
      <c r="Q15" s="136"/>
      <c r="R15" s="32"/>
      <c r="S15" s="60"/>
      <c r="T15" s="54"/>
      <c r="U15" s="30"/>
      <c r="V15" s="20"/>
      <c r="W15" s="20"/>
      <c r="X15" s="20"/>
    </row>
    <row r="16" spans="1:24" s="21" customFormat="1" ht="20.100000000000001" customHeight="1" ns2:dyDescent="0.3">
      <c r="A16" s="57">
        <f>ROWS($A$4:A16)</f>
        <v>13</v>
      </c>
      <c r="B16" s="133"/>
      <c r="C16" s="136"/>
      <c r="D16" s="32"/>
      <c r="E16" s="32"/>
      <c r="F16" s="32"/>
      <c r="G16" s="32"/>
      <c r="H16" s="60"/>
      <c r="I16" s="60"/>
      <c r="J16" s="32"/>
      <c r="K16" s="60"/>
      <c r="L16" s="32"/>
      <c r="M16" s="32"/>
      <c r="N16" s="32"/>
      <c r="O16" s="32"/>
      <c r="P16" s="277"/>
      <c r="Q16" s="136"/>
      <c r="R16" s="32"/>
      <c r="S16" s="60"/>
      <c r="T16" s="54"/>
      <c r="U16" s="30"/>
      <c r="V16" s="20"/>
      <c r="W16" s="20"/>
      <c r="X16" s="20"/>
    </row>
    <row r="17" spans="1:24" s="21" customFormat="1" ht="20.100000000000001" customHeight="1" ns2:dyDescent="0.3">
      <c r="A17" s="57">
        <f>ROWS($A$4:A17)</f>
        <v>14</v>
      </c>
      <c r="B17" s="133"/>
      <c r="C17" s="136"/>
      <c r="D17" s="32"/>
      <c r="E17" s="32"/>
      <c r="F17" s="32"/>
      <c r="G17" s="32"/>
      <c r="H17" s="60"/>
      <c r="I17" s="60"/>
      <c r="J17" s="32"/>
      <c r="K17" s="60"/>
      <c r="L17" s="32"/>
      <c r="M17" s="32"/>
      <c r="N17" s="32"/>
      <c r="O17" s="32"/>
      <c r="P17" s="277"/>
      <c r="Q17" s="136"/>
      <c r="R17" s="32"/>
      <c r="S17" s="60"/>
      <c r="T17" s="54"/>
      <c r="U17" s="30"/>
      <c r="V17" s="20"/>
      <c r="W17" s="20"/>
      <c r="X17" s="20"/>
    </row>
    <row r="18" spans="1:24" s="21" customFormat="1" ht="20.100000000000001" customHeight="1" ns2:dyDescent="0.3">
      <c r="A18" s="57">
        <f>ROWS($A$4:A18)</f>
        <v>15</v>
      </c>
      <c r="B18" s="133"/>
      <c r="C18" s="136"/>
      <c r="D18" s="32"/>
      <c r="E18" s="32"/>
      <c r="F18" s="32"/>
      <c r="G18" s="32"/>
      <c r="H18" s="60"/>
      <c r="I18" s="60"/>
      <c r="J18" s="32"/>
      <c r="K18" s="60"/>
      <c r="L18" s="32"/>
      <c r="M18" s="32"/>
      <c r="N18" s="32"/>
      <c r="O18" s="32"/>
      <c r="P18" s="277"/>
      <c r="Q18" s="136"/>
      <c r="R18" s="32"/>
      <c r="S18" s="60"/>
      <c r="T18" s="54"/>
      <c r="U18" s="30"/>
      <c r="V18" s="20"/>
      <c r="W18" s="20"/>
      <c r="X18" s="20"/>
    </row>
    <row r="19" spans="1:24" s="21" customFormat="1" ht="20.100000000000001" customHeight="1" ns2:dyDescent="0.3">
      <c r="A19" s="57">
        <f>ROWS($A$4:A19)</f>
        <v>16</v>
      </c>
      <c r="B19" s="133"/>
      <c r="C19" s="136"/>
      <c r="D19" s="32"/>
      <c r="E19" s="32"/>
      <c r="F19" s="32"/>
      <c r="G19" s="32"/>
      <c r="H19" s="60"/>
      <c r="I19" s="60"/>
      <c r="J19" s="32"/>
      <c r="K19" s="60"/>
      <c r="L19" s="32"/>
      <c r="M19" s="32"/>
      <c r="N19" s="32"/>
      <c r="O19" s="32"/>
      <c r="P19" s="277"/>
      <c r="Q19" s="136"/>
      <c r="R19" s="32"/>
      <c r="S19" s="60"/>
      <c r="T19" s="54"/>
      <c r="U19" s="30"/>
      <c r="V19" s="20"/>
      <c r="W19" s="20"/>
      <c r="X19" s="20"/>
    </row>
    <row r="20" spans="1:24" s="21" customFormat="1" ht="20.100000000000001" customHeight="1" ns2:dyDescent="0.3">
      <c r="A20" s="57">
        <f>ROWS($A$4:A20)</f>
        <v>17</v>
      </c>
      <c r="B20" s="133"/>
      <c r="C20" s="136"/>
      <c r="D20" s="32"/>
      <c r="E20" s="32"/>
      <c r="F20" s="32"/>
      <c r="G20" s="32"/>
      <c r="H20" s="60"/>
      <c r="I20" s="60"/>
      <c r="J20" s="32"/>
      <c r="K20" s="60"/>
      <c r="L20" s="32"/>
      <c r="M20" s="32"/>
      <c r="N20" s="32"/>
      <c r="O20" s="32"/>
      <c r="P20" s="277"/>
      <c r="Q20" s="136"/>
      <c r="R20" s="32"/>
      <c r="S20" s="60"/>
      <c r="T20" s="54"/>
      <c r="U20" s="30"/>
      <c r="V20" s="20"/>
      <c r="W20" s="20"/>
      <c r="X20" s="20"/>
    </row>
    <row r="21" spans="1:24" s="21" customFormat="1" ht="20.100000000000001" customHeight="1" ns2:dyDescent="0.3">
      <c r="A21" s="57">
        <f>ROWS($A$4:A21)</f>
        <v>18</v>
      </c>
      <c r="B21" s="133"/>
      <c r="C21" s="136"/>
      <c r="D21" s="32"/>
      <c r="E21" s="32"/>
      <c r="F21" s="32"/>
      <c r="G21" s="32"/>
      <c r="H21" s="60"/>
      <c r="I21" s="60"/>
      <c r="J21" s="32"/>
      <c r="K21" s="60"/>
      <c r="L21" s="32"/>
      <c r="M21" s="32"/>
      <c r="N21" s="32"/>
      <c r="O21" s="32"/>
      <c r="P21" s="277"/>
      <c r="Q21" s="136"/>
      <c r="R21" s="32"/>
      <c r="S21" s="60"/>
      <c r="T21" s="54"/>
      <c r="U21" s="30"/>
      <c r="V21" s="20"/>
      <c r="W21" s="20"/>
      <c r="X21" s="20"/>
    </row>
    <row r="22" spans="1:24" s="21" customFormat="1" ht="20.100000000000001" customHeight="1" ns2:dyDescent="0.3">
      <c r="A22" s="57">
        <f>ROWS($A$4:A22)</f>
        <v>19</v>
      </c>
      <c r="B22" s="133"/>
      <c r="C22" s="136"/>
      <c r="D22" s="32"/>
      <c r="E22" s="32"/>
      <c r="F22" s="32"/>
      <c r="G22" s="32"/>
      <c r="H22" s="60"/>
      <c r="I22" s="60"/>
      <c r="J22" s="32"/>
      <c r="K22" s="60"/>
      <c r="L22" s="32"/>
      <c r="M22" s="32"/>
      <c r="N22" s="32"/>
      <c r="O22" s="32"/>
      <c r="P22" s="277"/>
      <c r="Q22" s="136"/>
      <c r="R22" s="32"/>
      <c r="S22" s="60"/>
      <c r="T22" s="54"/>
      <c r="U22" s="30"/>
      <c r="V22" s="20"/>
      <c r="W22" s="20"/>
      <c r="X22" s="20"/>
    </row>
    <row r="23" spans="1:24" s="21" customFormat="1" ht="20.100000000000001" customHeight="1" ns2:dyDescent="0.3">
      <c r="A23" s="57">
        <f>ROWS($A$4:A23)</f>
        <v>20</v>
      </c>
      <c r="B23" s="133"/>
      <c r="C23" s="136"/>
      <c r="D23" s="32"/>
      <c r="E23" s="32"/>
      <c r="F23" s="32"/>
      <c r="G23" s="32"/>
      <c r="H23" s="60"/>
      <c r="I23" s="60"/>
      <c r="J23" s="32"/>
      <c r="K23" s="60"/>
      <c r="L23" s="32"/>
      <c r="M23" s="32"/>
      <c r="N23" s="32"/>
      <c r="O23" s="32"/>
      <c r="P23" s="277"/>
      <c r="Q23" s="136"/>
      <c r="R23" s="32"/>
      <c r="S23" s="60"/>
      <c r="T23" s="54"/>
      <c r="U23" s="30"/>
      <c r="V23" s="20"/>
      <c r="W23" s="20"/>
      <c r="X23" s="20"/>
    </row>
    <row r="24" spans="1:24" s="21" customFormat="1" ht="20.100000000000001" customHeight="1" ns2:dyDescent="0.3">
      <c r="A24" s="57">
        <f>ROWS($A$4:A24)</f>
        <v>21</v>
      </c>
      <c r="B24" s="133"/>
      <c r="C24" s="136"/>
      <c r="D24" s="32"/>
      <c r="E24" s="32"/>
      <c r="F24" s="32"/>
      <c r="G24" s="32"/>
      <c r="H24" s="60"/>
      <c r="I24" s="60"/>
      <c r="J24" s="32"/>
      <c r="K24" s="60"/>
      <c r="L24" s="32"/>
      <c r="M24" s="32"/>
      <c r="N24" s="32"/>
      <c r="O24" s="32"/>
      <c r="P24" s="277"/>
      <c r="Q24" s="136"/>
      <c r="R24" s="32"/>
      <c r="S24" s="60"/>
      <c r="T24" s="54"/>
      <c r="U24" s="30"/>
      <c r="V24" s="20"/>
      <c r="W24" s="20"/>
      <c r="X24" s="20"/>
    </row>
    <row r="25" spans="1:24" s="21" customFormat="1" ht="20.100000000000001" customHeight="1" ns2:dyDescent="0.3">
      <c r="A25" s="57">
        <f>ROWS($A$4:A25)</f>
        <v>22</v>
      </c>
      <c r="B25" s="133"/>
      <c r="C25" s="133"/>
      <c r="D25" s="55"/>
      <c r="E25" s="55"/>
      <c r="F25" s="55"/>
      <c r="G25" s="55"/>
      <c r="H25" s="60"/>
      <c r="I25" s="60"/>
      <c r="J25" s="55"/>
      <c r="K25" s="60"/>
      <c r="L25" s="55"/>
      <c r="M25" s="55"/>
      <c r="N25" s="55"/>
      <c r="O25" s="55"/>
      <c r="P25" s="278"/>
      <c r="Q25" s="133"/>
      <c r="R25" s="32"/>
      <c r="S25" s="60"/>
      <c r="T25" s="54"/>
      <c r="U25" s="30"/>
      <c r="V25" s="20"/>
      <c r="W25" s="20"/>
      <c r="X25" s="20"/>
    </row>
    <row r="26" spans="1:24" s="21" customFormat="1" ht="20.100000000000001" customHeight="1" ns2:dyDescent="0.3">
      <c r="A26" s="57">
        <f>ROWS($A$4:A26)</f>
        <v>23</v>
      </c>
      <c r="B26" s="143"/>
      <c r="C26" s="134"/>
      <c r="H26" s="60"/>
      <c r="I26" s="60"/>
      <c r="K26" s="60"/>
      <c r="P26" s="279"/>
      <c r="Q26" s="134"/>
      <c r="R26" s="32"/>
      <c r="S26" s="60"/>
      <c r="T26" s="54"/>
      <c r="U26" s="30"/>
      <c r="V26" s="20"/>
      <c r="W26" s="20"/>
      <c r="X26" s="20"/>
    </row>
    <row r="27" spans="1:24" s="21" customFormat="1" ht="20.100000000000001" customHeight="1" ns2:dyDescent="0.3">
      <c r="A27" s="57">
        <f>ROWS($A$4:A27)</f>
        <v>24</v>
      </c>
      <c r="B27" s="143"/>
      <c r="C27" s="134"/>
      <c r="H27" s="60"/>
      <c r="I27" s="60"/>
      <c r="K27" s="60"/>
      <c r="P27" s="279"/>
      <c r="Q27" s="134"/>
      <c r="R27" s="32"/>
      <c r="S27" s="60"/>
      <c r="T27" s="54"/>
      <c r="U27" s="30"/>
      <c r="V27" s="20"/>
      <c r="W27" s="20"/>
      <c r="X27" s="20"/>
    </row>
    <row r="28" spans="1:24" s="21" customFormat="1" ht="20.100000000000001" customHeight="1" ns2:dyDescent="0.3">
      <c r="A28" s="57">
        <f>ROWS($A$4:A28)</f>
        <v>25</v>
      </c>
      <c r="B28" s="143"/>
      <c r="C28" s="134"/>
      <c r="H28" s="60"/>
      <c r="I28" s="60"/>
      <c r="K28" s="60"/>
      <c r="P28" s="279"/>
      <c r="Q28" s="134"/>
      <c r="R28" s="32"/>
      <c r="S28" s="60"/>
      <c r="T28" s="54"/>
      <c r="U28" s="30"/>
      <c r="V28" s="20"/>
      <c r="W28" s="20"/>
      <c r="X28" s="20"/>
    </row>
    <row r="29" spans="1:24" s="21" customFormat="1" ht="20.100000000000001" customHeight="1" ns2:dyDescent="0.3">
      <c r="A29" s="57">
        <f>ROWS($A$4:A29)</f>
        <v>26</v>
      </c>
      <c r="B29" s="143"/>
      <c r="C29" s="134"/>
      <c r="H29" s="60"/>
      <c r="I29" s="60"/>
      <c r="K29" s="60"/>
      <c r="P29" s="279"/>
      <c r="Q29" s="134"/>
      <c r="R29" s="32"/>
      <c r="S29" s="60"/>
      <c r="T29" s="54"/>
      <c r="U29" s="212"/>
      <c r="V29" s="20"/>
      <c r="W29" s="20"/>
      <c r="X29" s="20"/>
    </row>
    <row r="30" spans="1:24" s="21" customFormat="1" ht="20.100000000000001" customHeight="1" ns2:dyDescent="0.3">
      <c r="A30" s="57">
        <f>ROWS($A$4:A30)</f>
        <v>27</v>
      </c>
      <c r="B30" s="143"/>
      <c r="C30" s="134"/>
      <c r="H30" s="60"/>
      <c r="I30" s="60"/>
      <c r="K30" s="60"/>
      <c r="P30" s="279"/>
      <c r="Q30" s="134"/>
      <c r="R30" s="32"/>
      <c r="S30" s="60"/>
      <c r="T30" s="54"/>
      <c r="U30" s="30"/>
      <c r="V30" s="20"/>
      <c r="W30" s="20"/>
      <c r="X30" s="20"/>
    </row>
    <row r="31" spans="1:24" s="21" customFormat="1" ht="20.100000000000001" customHeight="1" ns2:dyDescent="0.3">
      <c r="A31" s="57">
        <f>ROWS($A$4:A31)</f>
        <v>28</v>
      </c>
      <c r="B31" s="143"/>
      <c r="C31" s="134"/>
      <c r="H31" s="60"/>
      <c r="I31" s="60"/>
      <c r="K31" s="60"/>
      <c r="P31" s="279"/>
      <c r="Q31" s="134"/>
      <c r="R31" s="32"/>
      <c r="S31" s="60"/>
      <c r="T31" s="54"/>
      <c r="U31" s="30"/>
      <c r="V31" s="20"/>
      <c r="W31" s="20"/>
      <c r="X31" s="20"/>
    </row>
    <row r="32" spans="1:24" s="21" customFormat="1" ht="20.100000000000001" customHeight="1" ns2:dyDescent="0.3">
      <c r="A32" s="57">
        <f>ROWS($A$4:A32)</f>
        <v>29</v>
      </c>
      <c r="B32" s="143"/>
      <c r="C32" s="134"/>
      <c r="H32" s="60"/>
      <c r="I32" s="60"/>
      <c r="K32" s="60"/>
      <c r="P32" s="279"/>
      <c r="Q32" s="134"/>
      <c r="R32" s="32"/>
      <c r="S32" s="60"/>
      <c r="T32" s="54"/>
      <c r="U32" s="30"/>
      <c r="V32" s="20"/>
      <c r="W32" s="20"/>
      <c r="X32" s="20"/>
    </row>
    <row r="33" spans="1:24" s="21" customFormat="1" ht="20.100000000000001" customHeight="1" ns2:dyDescent="0.3">
      <c r="A33" s="57">
        <f>ROWS($A$4:A33)</f>
        <v>30</v>
      </c>
      <c r="B33" s="143"/>
      <c r="C33" s="134"/>
      <c r="H33" s="60"/>
      <c r="I33" s="60"/>
      <c r="K33" s="60"/>
      <c r="P33" s="279"/>
      <c r="Q33" s="134"/>
      <c r="R33" s="32"/>
      <c r="S33" s="60"/>
      <c r="T33" s="54"/>
      <c r="U33" s="30"/>
      <c r="V33" s="20"/>
      <c r="W33" s="20"/>
      <c r="X33" s="20"/>
    </row>
    <row r="34" spans="1:24" s="21" customFormat="1" ht="20.100000000000001" customHeight="1" ns2:dyDescent="0.3">
      <c r="A34" s="57"/>
      <c r="B34" s="143"/>
      <c r="C34" s="134"/>
      <c r="H34" s="60"/>
      <c r="I34" s="60"/>
      <c r="K34" s="60"/>
      <c r="P34" s="279"/>
      <c r="Q34" s="134"/>
      <c r="R34" s="32"/>
      <c r="S34" s="60"/>
      <c r="T34" s="54"/>
      <c r="U34" s="30"/>
      <c r="V34" s="20"/>
      <c r="W34" s="20"/>
      <c r="X34" s="20"/>
    </row>
    <row r="35" spans="1:24" s="21" customFormat="1" ht="20.100000000000001" customHeight="1" ns2:dyDescent="0.3">
      <c r="A35" s="57"/>
      <c r="B35" s="143"/>
      <c r="C35" s="134"/>
      <c r="H35" s="60"/>
      <c r="I35" s="60"/>
      <c r="K35" s="60"/>
      <c r="P35" s="279"/>
      <c r="Q35" s="134"/>
      <c r="R35" s="55"/>
      <c r="S35" s="60"/>
      <c r="T35" s="56"/>
      <c r="U35" s="30"/>
      <c r="V35" s="20"/>
      <c r="W35" s="20"/>
      <c r="X35" s="20"/>
    </row>
    <row r="36" spans="1:24" s="21" customFormat="1" ht="20.100000000000001" customHeight="1" ns2:dyDescent="0.3">
      <c r="B36" s="143"/>
      <c r="C36" s="134"/>
      <c r="H36" s="60"/>
      <c r="I36" s="60"/>
      <c r="K36" s="60"/>
      <c r="P36" s="279"/>
      <c r="Q36" s="134"/>
      <c r="S36" s="60"/>
      <c r="T36" s="22"/>
      <c r="U36" s="30"/>
      <c r="V36" s="20"/>
      <c r="W36" s="20"/>
      <c r="X36" s="20"/>
    </row>
    <row r="37" spans="1:24" s="21" customFormat="1" ht="20.100000000000001" customHeight="1" ns2:dyDescent="0.3">
      <c r="B37" s="143"/>
      <c r="C37" s="134"/>
      <c r="H37" s="60"/>
      <c r="I37" s="60"/>
      <c r="K37" s="60"/>
      <c r="P37" s="279"/>
      <c r="Q37" s="134"/>
      <c r="S37" s="60"/>
      <c r="T37" s="22"/>
      <c r="U37" s="30"/>
      <c r="V37" s="20"/>
      <c r="W37" s="20"/>
      <c r="X37" s="20"/>
    </row>
    <row r="38" spans="1:24" s="21" customFormat="1" ht="20.100000000000001" customHeight="1" ns2:dyDescent="0.3">
      <c r="B38" s="143"/>
      <c r="C38" s="134"/>
      <c r="H38" s="60"/>
      <c r="I38" s="60"/>
      <c r="K38" s="60"/>
      <c r="P38" s="279"/>
      <c r="Q38" s="134"/>
      <c r="S38" s="60"/>
      <c r="T38" s="22"/>
      <c r="U38" s="30"/>
      <c r="V38" s="20"/>
      <c r="W38" s="20"/>
      <c r="X38" s="20"/>
    </row>
    <row r="39" spans="1:24" s="21" customFormat="1" ht="20.100000000000001" customHeight="1" ns2:dyDescent="0.3">
      <c r="B39" s="143"/>
      <c r="C39" s="134"/>
      <c r="H39" s="60"/>
      <c r="I39" s="60"/>
      <c r="K39" s="60"/>
      <c r="P39" s="279"/>
      <c r="Q39" s="134"/>
      <c r="S39" s="60"/>
      <c r="T39" s="22"/>
      <c r="U39" s="30"/>
      <c r="V39" s="20"/>
      <c r="W39" s="20"/>
      <c r="X39" s="20"/>
    </row>
    <row r="40" spans="1:24" s="21" customFormat="1" ht="20.100000000000001" customHeight="1" ns2:dyDescent="0.3">
      <c r="B40" s="143"/>
      <c r="C40" s="134"/>
      <c r="H40" s="60"/>
      <c r="I40" s="60"/>
      <c r="K40" s="60"/>
      <c r="P40" s="279"/>
      <c r="Q40" s="134"/>
      <c r="S40" s="60"/>
      <c r="T40" s="22"/>
      <c r="U40" s="30"/>
      <c r="V40" s="20"/>
      <c r="W40" s="20"/>
      <c r="X40" s="20"/>
    </row>
    <row r="41" spans="1:24" s="21" customFormat="1" ht="20.100000000000001" customHeight="1" ns2:dyDescent="0.3">
      <c r="B41" s="143"/>
      <c r="C41" s="134"/>
      <c r="H41" s="60"/>
      <c r="I41" s="60"/>
      <c r="K41" s="60"/>
      <c r="P41" s="279"/>
      <c r="Q41" s="134"/>
      <c r="S41" s="60"/>
      <c r="T41" s="22"/>
      <c r="U41" s="30"/>
      <c r="V41" s="20"/>
      <c r="W41" s="20"/>
      <c r="X41" s="20"/>
    </row>
    <row r="42" spans="1:24" s="21" customFormat="1" ht="20.100000000000001" customHeight="1" ns2:dyDescent="0.3">
      <c r="B42" s="143"/>
      <c r="C42" s="134"/>
      <c r="H42" s="60"/>
      <c r="I42" s="60"/>
      <c r="K42" s="60"/>
      <c r="P42" s="279"/>
      <c r="Q42" s="134"/>
      <c r="S42" s="60"/>
      <c r="T42" s="22"/>
      <c r="U42" s="30"/>
      <c r="V42" s="20"/>
      <c r="W42" s="20"/>
      <c r="X42" s="20"/>
    </row>
    <row r="43" spans="1:24" s="21" customFormat="1" ht="20.100000000000001" customHeight="1" ns2:dyDescent="0.3">
      <c r="B43" s="143"/>
      <c r="C43" s="134"/>
      <c r="H43" s="60"/>
      <c r="I43" s="60"/>
      <c r="K43" s="60"/>
      <c r="P43" s="279"/>
      <c r="Q43" s="134"/>
      <c r="S43" s="60"/>
      <c r="T43" s="22"/>
      <c r="U43" s="30"/>
      <c r="V43" s="20"/>
      <c r="W43" s="20"/>
      <c r="X43" s="20"/>
    </row>
    <row r="44" spans="1:24" s="21" customFormat="1" ht="20.100000000000001" customHeight="1" ns2:dyDescent="0.3">
      <c r="B44" s="143"/>
      <c r="C44" s="134"/>
      <c r="H44" s="60"/>
      <c r="I44" s="60"/>
      <c r="K44" s="60"/>
      <c r="P44" s="279"/>
      <c r="Q44" s="134"/>
      <c r="S44" s="60"/>
      <c r="T44" s="22"/>
      <c r="U44" s="30"/>
      <c r="V44" s="20"/>
      <c r="W44" s="20"/>
      <c r="X44" s="20"/>
    </row>
    <row r="45" spans="1:24" s="21" customFormat="1" ht="20.100000000000001" customHeight="1" ns2:dyDescent="0.3">
      <c r="B45" s="143"/>
      <c r="C45" s="134"/>
      <c r="H45" s="60"/>
      <c r="I45" s="60"/>
      <c r="K45" s="60"/>
      <c r="P45" s="279"/>
      <c r="Q45" s="134"/>
      <c r="S45" s="60"/>
      <c r="T45" s="22"/>
      <c r="U45" s="30"/>
      <c r="V45" s="20"/>
      <c r="W45" s="20"/>
      <c r="X45" s="20"/>
    </row>
    <row r="46" spans="1:24" s="21" customFormat="1" ht="20.100000000000001" customHeight="1" ns2:dyDescent="0.3">
      <c r="B46" s="143"/>
      <c r="C46" s="134"/>
      <c r="H46" s="60"/>
      <c r="I46" s="60"/>
      <c r="K46" s="60"/>
      <c r="P46" s="279"/>
      <c r="Q46" s="134"/>
      <c r="S46" s="60"/>
      <c r="T46" s="22"/>
      <c r="U46" s="30"/>
      <c r="V46" s="20"/>
      <c r="W46" s="20"/>
      <c r="X46" s="20"/>
    </row>
    <row r="47" spans="1:24" s="21" customFormat="1" ht="20.100000000000001" customHeight="1" ns2:dyDescent="0.3">
      <c r="B47" s="143"/>
      <c r="C47" s="134"/>
      <c r="H47" s="60"/>
      <c r="I47" s="60"/>
      <c r="K47" s="60"/>
      <c r="P47" s="279"/>
      <c r="Q47" s="134"/>
      <c r="S47" s="60"/>
      <c r="T47" s="22"/>
      <c r="U47" s="30"/>
      <c r="V47" s="20"/>
      <c r="W47" s="20"/>
      <c r="X47" s="20"/>
    </row>
    <row r="48" spans="1:24" s="21" customFormat="1" ht="20.100000000000001" customHeight="1" ns2:dyDescent="0.3">
      <c r="B48" s="143"/>
      <c r="C48" s="134"/>
      <c r="H48" s="60"/>
      <c r="I48" s="60"/>
      <c r="K48" s="60"/>
      <c r="P48" s="279"/>
      <c r="Q48" s="134"/>
      <c r="S48" s="60"/>
      <c r="T48" s="22"/>
      <c r="U48" s="30"/>
      <c r="V48" s="20"/>
      <c r="W48" s="20"/>
      <c r="X48" s="20"/>
    </row>
    <row r="49" spans="2:24" s="21" customFormat="1" ht="20.100000000000001" customHeight="1" ns2:dyDescent="0.3">
      <c r="B49" s="143"/>
      <c r="C49" s="134"/>
      <c r="H49" s="60"/>
      <c r="I49" s="60"/>
      <c r="K49" s="60"/>
      <c r="P49" s="279"/>
      <c r="Q49" s="134"/>
      <c r="S49" s="60"/>
      <c r="T49" s="22"/>
      <c r="U49" s="30"/>
      <c r="V49" s="20"/>
      <c r="W49" s="20"/>
      <c r="X49" s="20"/>
    </row>
    <row r="50" spans="2:24" s="21" customFormat="1" ht="20.100000000000001" customHeight="1" ns2:dyDescent="0.3">
      <c r="B50" s="143"/>
      <c r="C50" s="134"/>
      <c r="H50" s="60"/>
      <c r="I50" s="60"/>
      <c r="K50" s="60"/>
      <c r="P50" s="279"/>
      <c r="Q50" s="134"/>
      <c r="S50" s="60"/>
      <c r="T50" s="22"/>
      <c r="U50" s="30"/>
      <c r="V50" s="20"/>
      <c r="W50" s="20"/>
      <c r="X50" s="20"/>
    </row>
    <row r="51" spans="2:24" s="21" customFormat="1" ht="20.100000000000001" customHeight="1" ns2:dyDescent="0.3">
      <c r="B51" s="143"/>
      <c r="C51" s="134"/>
      <c r="H51" s="60"/>
      <c r="I51" s="60"/>
      <c r="K51" s="60"/>
      <c r="P51" s="279"/>
      <c r="Q51" s="134"/>
      <c r="S51" s="60"/>
      <c r="T51" s="22"/>
      <c r="U51" s="30"/>
      <c r="V51" s="20"/>
      <c r="W51" s="20"/>
      <c r="X51" s="20"/>
    </row>
    <row r="52" spans="2:24" s="21" customFormat="1" ht="20.100000000000001" customHeight="1" ns2:dyDescent="0.3">
      <c r="B52" s="143"/>
      <c r="C52" s="134"/>
      <c r="H52" s="60"/>
      <c r="I52" s="60"/>
      <c r="K52" s="60"/>
      <c r="P52" s="279"/>
      <c r="Q52" s="134"/>
      <c r="S52" s="60"/>
      <c r="T52" s="22"/>
      <c r="U52" s="30"/>
      <c r="V52" s="20"/>
      <c r="W52" s="20"/>
      <c r="X52" s="20"/>
    </row>
    <row r="53" spans="2:24" s="21" customFormat="1" ht="20.100000000000001" customHeight="1" ns2:dyDescent="0.3">
      <c r="B53" s="143"/>
      <c r="C53" s="134"/>
      <c r="H53" s="60"/>
      <c r="I53" s="60"/>
      <c r="K53" s="60"/>
      <c r="P53" s="279"/>
      <c r="Q53" s="134"/>
      <c r="S53" s="60"/>
      <c r="T53" s="22"/>
      <c r="U53" s="30"/>
      <c r="V53" s="20"/>
      <c r="W53" s="20"/>
      <c r="X53" s="20"/>
    </row>
    <row r="54" spans="2:24" s="21" customFormat="1" ht="20.100000000000001" customHeight="1" ns2:dyDescent="0.3">
      <c r="B54" s="143"/>
      <c r="C54" s="134"/>
      <c r="H54" s="60"/>
      <c r="I54" s="60"/>
      <c r="K54" s="60"/>
      <c r="P54" s="279"/>
      <c r="Q54" s="134"/>
      <c r="S54" s="60"/>
      <c r="T54" s="22"/>
      <c r="U54" s="30"/>
      <c r="V54" s="20"/>
      <c r="W54" s="20"/>
      <c r="X54" s="20"/>
    </row>
    <row r="55" spans="2:24" s="21" customFormat="1" ht="20.100000000000001" customHeight="1" ns2:dyDescent="0.3">
      <c r="B55" s="143"/>
      <c r="C55" s="134"/>
      <c r="H55" s="60"/>
      <c r="I55" s="60"/>
      <c r="K55" s="60"/>
      <c r="P55" s="279"/>
      <c r="Q55" s="134"/>
      <c r="S55" s="60"/>
      <c r="T55" s="22"/>
      <c r="U55" s="30"/>
      <c r="V55" s="20"/>
      <c r="W55" s="20"/>
      <c r="X55" s="20"/>
    </row>
    <row r="56" spans="2:24" s="21" customFormat="1" ht="20.100000000000001" customHeight="1" ns2:dyDescent="0.3">
      <c r="B56" s="143"/>
      <c r="C56" s="134"/>
      <c r="H56" s="60"/>
      <c r="I56" s="60"/>
      <c r="K56" s="60"/>
      <c r="P56" s="279"/>
      <c r="Q56" s="134"/>
      <c r="S56" s="60"/>
      <c r="T56" s="22"/>
      <c r="U56" s="30"/>
      <c r="V56" s="20"/>
      <c r="W56" s="20"/>
      <c r="X56" s="20"/>
    </row>
    <row r="57" spans="2:24" s="21" customFormat="1" ht="20.100000000000001" customHeight="1" ns2:dyDescent="0.3">
      <c r="B57" s="143"/>
      <c r="C57" s="134"/>
      <c r="H57" s="60"/>
      <c r="I57" s="60"/>
      <c r="K57" s="60"/>
      <c r="P57" s="279"/>
      <c r="Q57" s="134"/>
      <c r="S57" s="60"/>
      <c r="T57" s="22"/>
      <c r="U57" s="30"/>
      <c r="V57" s="20"/>
      <c r="W57" s="20"/>
      <c r="X57" s="20"/>
    </row>
    <row r="58" spans="2:24" s="21" customFormat="1" ht="20.100000000000001" customHeight="1" ns2:dyDescent="0.3">
      <c r="B58" s="143"/>
      <c r="C58" s="134"/>
      <c r="H58" s="60"/>
      <c r="I58" s="60"/>
      <c r="K58" s="60"/>
      <c r="P58" s="279"/>
      <c r="Q58" s="134"/>
      <c r="S58" s="60"/>
      <c r="T58" s="22"/>
      <c r="U58" s="30"/>
      <c r="V58" s="20"/>
      <c r="W58" s="20"/>
      <c r="X58" s="20"/>
    </row>
    <row r="59" spans="2:24" s="21" customFormat="1" ht="20.100000000000001" customHeight="1" ns2:dyDescent="0.3">
      <c r="B59" s="143"/>
      <c r="C59" s="134"/>
      <c r="H59" s="60"/>
      <c r="I59" s="60"/>
      <c r="K59" s="60"/>
      <c r="P59" s="279"/>
      <c r="Q59" s="134"/>
      <c r="S59" s="60"/>
      <c r="T59" s="22"/>
      <c r="U59" s="30"/>
      <c r="V59" s="20"/>
      <c r="W59" s="20"/>
      <c r="X59" s="20"/>
    </row>
    <row r="60" spans="2:24" s="21" customFormat="1" ht="20.100000000000001" customHeight="1" ns2:dyDescent="0.3">
      <c r="B60" s="143"/>
      <c r="C60" s="134"/>
      <c r="H60" s="60"/>
      <c r="I60" s="60"/>
      <c r="K60" s="60"/>
      <c r="P60" s="279"/>
      <c r="Q60" s="134"/>
      <c r="S60" s="60"/>
      <c r="T60" s="22"/>
      <c r="U60" s="30"/>
      <c r="V60" s="20"/>
      <c r="W60" s="20"/>
      <c r="X60" s="20"/>
    </row>
    <row r="61" spans="2:24" s="21" customFormat="1" ht="20.100000000000001" customHeight="1" ns2:dyDescent="0.3">
      <c r="B61" s="143"/>
      <c r="C61" s="134"/>
      <c r="H61" s="60"/>
      <c r="I61" s="60"/>
      <c r="K61" s="60"/>
      <c r="P61" s="279"/>
      <c r="Q61" s="134"/>
      <c r="S61" s="60"/>
      <c r="T61" s="22"/>
      <c r="U61" s="30"/>
      <c r="V61" s="20"/>
      <c r="W61" s="20"/>
      <c r="X61" s="20"/>
    </row>
    <row r="62" spans="2:24" s="21" customFormat="1" ht="20.100000000000001" customHeight="1" ns2:dyDescent="0.3">
      <c r="B62" s="143"/>
      <c r="C62" s="134"/>
      <c r="H62" s="60"/>
      <c r="I62" s="60"/>
      <c r="K62" s="60"/>
      <c r="P62" s="279"/>
      <c r="Q62" s="134"/>
      <c r="S62" s="60"/>
      <c r="T62" s="22"/>
      <c r="U62" s="30"/>
      <c r="V62" s="20"/>
      <c r="W62" s="20"/>
      <c r="X62" s="20"/>
    </row>
    <row r="63" spans="2:24" s="21" customFormat="1" ht="20.100000000000001" customHeight="1" ns2:dyDescent="0.3">
      <c r="B63" s="143"/>
      <c r="C63" s="134"/>
      <c r="H63" s="60"/>
      <c r="I63" s="60"/>
      <c r="K63" s="60"/>
      <c r="P63" s="279"/>
      <c r="Q63" s="134"/>
      <c r="S63" s="60"/>
      <c r="T63" s="22"/>
      <c r="U63" s="30"/>
      <c r="V63" s="20"/>
      <c r="W63" s="20"/>
      <c r="X63" s="20"/>
    </row>
    <row r="64" spans="2:24" s="21" customFormat="1" ht="20.100000000000001" customHeight="1" ns2:dyDescent="0.3">
      <c r="B64" s="143"/>
      <c r="C64" s="134"/>
      <c r="H64" s="60"/>
      <c r="I64" s="60"/>
      <c r="K64" s="60"/>
      <c r="P64" s="279"/>
      <c r="Q64" s="134"/>
      <c r="S64" s="60"/>
      <c r="T64" s="22"/>
      <c r="U64" s="30"/>
      <c r="V64" s="20"/>
      <c r="W64" s="20"/>
      <c r="X64" s="20"/>
    </row>
    <row r="65" spans="2:24" s="21" customFormat="1" ht="20.100000000000001" customHeight="1" ns2:dyDescent="0.3">
      <c r="B65" s="143"/>
      <c r="C65" s="134"/>
      <c r="H65" s="60"/>
      <c r="I65" s="60"/>
      <c r="K65" s="60"/>
      <c r="P65" s="279"/>
      <c r="Q65" s="134"/>
      <c r="S65" s="60"/>
      <c r="T65" s="22"/>
      <c r="U65" s="30"/>
      <c r="V65" s="20"/>
      <c r="W65" s="20"/>
      <c r="X65" s="20"/>
    </row>
    <row r="66" spans="2:24" s="21" customFormat="1" ht="20.100000000000001" customHeight="1" ns2:dyDescent="0.3">
      <c r="B66" s="143"/>
      <c r="C66" s="134"/>
      <c r="H66" s="60"/>
      <c r="I66" s="60"/>
      <c r="K66" s="60"/>
      <c r="P66" s="279"/>
      <c r="Q66" s="134"/>
      <c r="S66" s="60"/>
      <c r="T66" s="22"/>
      <c r="U66" s="30"/>
      <c r="V66" s="20"/>
      <c r="W66" s="20"/>
      <c r="X66" s="20"/>
    </row>
    <row r="67" spans="2:24" s="21" customFormat="1" ht="20.100000000000001" customHeight="1" ns2:dyDescent="0.3">
      <c r="B67" s="143"/>
      <c r="C67" s="134"/>
      <c r="H67" s="60"/>
      <c r="I67" s="60"/>
      <c r="K67" s="60"/>
      <c r="P67" s="279"/>
      <c r="Q67" s="134"/>
      <c r="S67" s="60"/>
      <c r="T67" s="22"/>
      <c r="U67" s="30"/>
      <c r="V67" s="20"/>
      <c r="W67" s="20"/>
      <c r="X67" s="20"/>
    </row>
    <row r="68" spans="2:24" s="21" customFormat="1" ht="20.100000000000001" customHeight="1" ns2:dyDescent="0.3">
      <c r="B68" s="143"/>
      <c r="C68" s="134"/>
      <c r="H68" s="60"/>
      <c r="I68" s="60"/>
      <c r="K68" s="60"/>
      <c r="P68" s="279"/>
      <c r="Q68" s="134"/>
      <c r="S68" s="60"/>
      <c r="T68" s="22"/>
      <c r="U68" s="30"/>
      <c r="V68" s="20"/>
      <c r="W68" s="20"/>
      <c r="X68" s="20"/>
    </row>
    <row r="69" spans="2:24" s="21" customFormat="1" ht="20.100000000000001" customHeight="1" ns2:dyDescent="0.3">
      <c r="B69" s="143"/>
      <c r="C69" s="134"/>
      <c r="H69" s="60"/>
      <c r="I69" s="60"/>
      <c r="K69" s="60"/>
      <c r="P69" s="279"/>
      <c r="Q69" s="134"/>
      <c r="S69" s="60"/>
      <c r="T69" s="22"/>
      <c r="U69" s="30"/>
      <c r="V69" s="20"/>
      <c r="W69" s="20"/>
      <c r="X69" s="20"/>
    </row>
    <row r="70" spans="2:24" s="21" customFormat="1" ht="20.100000000000001" customHeight="1" ns2:dyDescent="0.3">
      <c r="B70" s="143"/>
      <c r="C70" s="134"/>
      <c r="H70" s="60"/>
      <c r="I70" s="60"/>
      <c r="K70" s="60"/>
      <c r="P70" s="279"/>
      <c r="Q70" s="134"/>
      <c r="S70" s="60"/>
      <c r="T70" s="22"/>
      <c r="U70" s="30"/>
      <c r="V70" s="20"/>
      <c r="W70" s="20"/>
      <c r="X70" s="20"/>
    </row>
    <row r="71" spans="2:24" s="21" customFormat="1" ht="20.100000000000001" customHeight="1" ns2:dyDescent="0.3">
      <c r="B71" s="143"/>
      <c r="C71" s="134"/>
      <c r="H71" s="60"/>
      <c r="I71" s="60"/>
      <c r="K71" s="60"/>
      <c r="P71" s="279"/>
      <c r="Q71" s="134"/>
      <c r="S71" s="60"/>
      <c r="T71" s="22"/>
      <c r="U71" s="30"/>
      <c r="V71" s="20"/>
      <c r="W71" s="20"/>
      <c r="X71" s="20"/>
    </row>
    <row r="72" spans="2:24" s="21" customFormat="1" ht="20.100000000000001" customHeight="1" ns2:dyDescent="0.3">
      <c r="B72" s="143"/>
      <c r="C72" s="134"/>
      <c r="H72" s="60"/>
      <c r="I72" s="60"/>
      <c r="K72" s="60"/>
      <c r="P72" s="279"/>
      <c r="Q72" s="134"/>
      <c r="S72" s="60"/>
      <c r="T72" s="22"/>
      <c r="U72" s="30"/>
      <c r="V72" s="20"/>
      <c r="W72" s="20"/>
      <c r="X72" s="20"/>
    </row>
    <row r="73" spans="2:24" s="21" customFormat="1" ht="20.100000000000001" customHeight="1" ns2:dyDescent="0.3">
      <c r="B73" s="143"/>
      <c r="C73" s="134"/>
      <c r="H73" s="60"/>
      <c r="I73" s="60"/>
      <c r="K73" s="60"/>
      <c r="P73" s="279"/>
      <c r="Q73" s="134"/>
      <c r="S73" s="60"/>
      <c r="T73" s="22"/>
      <c r="U73" s="30"/>
      <c r="V73" s="20"/>
      <c r="W73" s="20"/>
      <c r="X73" s="20"/>
    </row>
    <row r="74" spans="2:24" s="21" customFormat="1" ht="20.100000000000001" customHeight="1" ns2:dyDescent="0.3">
      <c r="B74" s="143"/>
      <c r="C74" s="134"/>
      <c r="H74" s="60"/>
      <c r="I74" s="60"/>
      <c r="K74" s="60"/>
      <c r="P74" s="279"/>
      <c r="Q74" s="134"/>
      <c r="S74" s="60"/>
      <c r="T74" s="22"/>
      <c r="U74" s="30"/>
      <c r="V74" s="20"/>
      <c r="W74" s="20"/>
      <c r="X74" s="20"/>
    </row>
    <row r="75" spans="2:24" s="21" customFormat="1" ht="20.100000000000001" customHeight="1" ns2:dyDescent="0.3">
      <c r="B75" s="143"/>
      <c r="C75" s="134"/>
      <c r="H75" s="60"/>
      <c r="I75" s="60"/>
      <c r="K75" s="60"/>
      <c r="P75" s="279"/>
      <c r="Q75" s="134"/>
      <c r="S75" s="60"/>
      <c r="T75" s="22"/>
      <c r="U75" s="30"/>
      <c r="V75" s="20"/>
      <c r="W75" s="20"/>
      <c r="X75" s="20"/>
    </row>
    <row r="76" spans="2:24" s="21" customFormat="1" ht="20.100000000000001" customHeight="1" ns2:dyDescent="0.3">
      <c r="B76" s="143"/>
      <c r="C76" s="134"/>
      <c r="H76" s="60"/>
      <c r="I76" s="60"/>
      <c r="K76" s="60"/>
      <c r="P76" s="279"/>
      <c r="Q76" s="134"/>
      <c r="S76" s="60"/>
      <c r="T76" s="22"/>
      <c r="U76" s="30"/>
      <c r="V76" s="20"/>
      <c r="W76" s="20"/>
      <c r="X76" s="20"/>
    </row>
    <row r="77" spans="2:24" s="21" customFormat="1" ht="20.100000000000001" customHeight="1" ns2:dyDescent="0.3">
      <c r="B77" s="143"/>
      <c r="C77" s="134"/>
      <c r="H77" s="60"/>
      <c r="I77" s="60"/>
      <c r="K77" s="60"/>
      <c r="P77" s="279"/>
      <c r="Q77" s="134"/>
      <c r="S77" s="60"/>
      <c r="T77" s="22"/>
      <c r="U77" s="30"/>
      <c r="V77" s="20"/>
      <c r="W77" s="20"/>
      <c r="X77" s="20"/>
    </row>
    <row r="78" spans="2:24" s="21" customFormat="1" ht="20.100000000000001" customHeight="1" ns2:dyDescent="0.3">
      <c r="B78" s="143"/>
      <c r="C78" s="134"/>
      <c r="H78" s="60"/>
      <c r="I78" s="60"/>
      <c r="K78" s="60"/>
      <c r="P78" s="279"/>
      <c r="Q78" s="134"/>
      <c r="S78" s="60"/>
      <c r="T78" s="22"/>
      <c r="U78" s="30"/>
      <c r="V78" s="20"/>
      <c r="W78" s="20"/>
      <c r="X78" s="20"/>
    </row>
    <row r="79" spans="2:24" s="21" customFormat="1" ht="20.100000000000001" customHeight="1" ns2:dyDescent="0.3">
      <c r="B79" s="143"/>
      <c r="C79" s="134"/>
      <c r="H79" s="60"/>
      <c r="I79" s="60"/>
      <c r="K79" s="60"/>
      <c r="P79" s="279"/>
      <c r="Q79" s="134"/>
      <c r="S79" s="60"/>
      <c r="T79" s="22"/>
      <c r="U79" s="30"/>
      <c r="V79" s="20"/>
      <c r="W79" s="20"/>
      <c r="X79" s="20"/>
    </row>
    <row r="80" spans="2:24" s="21" customFormat="1" ht="20.100000000000001" customHeight="1" ns2:dyDescent="0.3">
      <c r="B80" s="143"/>
      <c r="C80" s="134"/>
      <c r="H80" s="60"/>
      <c r="I80" s="60"/>
      <c r="K80" s="60"/>
      <c r="P80" s="279"/>
      <c r="Q80" s="134"/>
      <c r="S80" s="60"/>
      <c r="T80" s="22"/>
      <c r="U80" s="30"/>
      <c r="V80" s="20"/>
      <c r="W80" s="20"/>
      <c r="X80" s="20"/>
    </row>
    <row r="81" spans="1:24" s="21" customFormat="1" ht="20.100000000000001" customHeight="1" ns2:dyDescent="0.3">
      <c r="B81" s="143"/>
      <c r="C81" s="134"/>
      <c r="H81" s="60"/>
      <c r="I81" s="60"/>
      <c r="K81" s="60"/>
      <c r="P81" s="279"/>
      <c r="Q81" s="134"/>
      <c r="S81" s="60"/>
      <c r="T81" s="22"/>
      <c r="U81" s="30"/>
      <c r="V81" s="20"/>
      <c r="W81" s="20"/>
      <c r="X81" s="20"/>
    </row>
    <row r="82" spans="1:24" s="21" customFormat="1" ht="20.100000000000001" customHeight="1" ns2:dyDescent="0.3">
      <c r="B82" s="143"/>
      <c r="C82" s="134"/>
      <c r="H82" s="60"/>
      <c r="I82" s="60"/>
      <c r="K82" s="60"/>
      <c r="P82" s="279"/>
      <c r="Q82" s="134"/>
      <c r="S82" s="60"/>
      <c r="T82" s="22"/>
      <c r="U82" s="30"/>
      <c r="V82" s="20"/>
      <c r="W82" s="20"/>
      <c r="X82" s="20"/>
    </row>
    <row r="83" spans="1:24" s="21" customFormat="1" ht="20.100000000000001" customHeight="1" ns2:dyDescent="0.3">
      <c r="B83" s="143"/>
      <c r="C83" s="134"/>
      <c r="H83" s="60"/>
      <c r="I83" s="60"/>
      <c r="K83" s="60"/>
      <c r="P83" s="279"/>
      <c r="Q83" s="134"/>
      <c r="S83" s="60"/>
      <c r="T83" s="22"/>
      <c r="U83" s="30"/>
      <c r="V83" s="20"/>
      <c r="W83" s="20"/>
      <c r="X83" s="20"/>
    </row>
    <row r="84" spans="1:24" s="21" customFormat="1" ht="20.100000000000001" customHeight="1" ns2:dyDescent="0.3">
      <c r="B84" s="143"/>
      <c r="C84" s="134"/>
      <c r="H84" s="60"/>
      <c r="I84" s="60"/>
      <c r="K84" s="60"/>
      <c r="P84" s="279"/>
      <c r="Q84" s="134"/>
      <c r="S84" s="60"/>
      <c r="T84" s="22"/>
      <c r="U84" s="30"/>
      <c r="V84" s="20"/>
      <c r="W84" s="20"/>
      <c r="X84" s="20"/>
    </row>
    <row r="85" spans="1:24" s="21" customFormat="1" ht="20.100000000000001" customHeight="1" ns2:dyDescent="0.3">
      <c r="B85" s="143"/>
      <c r="C85" s="134"/>
      <c r="H85" s="60"/>
      <c r="I85" s="60"/>
      <c r="K85" s="60"/>
      <c r="P85" s="279"/>
      <c r="Q85" s="134"/>
      <c r="S85" s="60"/>
      <c r="T85" s="22"/>
      <c r="U85" s="30"/>
      <c r="V85" s="20"/>
      <c r="W85" s="20"/>
      <c r="X85" s="20"/>
    </row>
    <row r="86" spans="1:24" s="21" customFormat="1" ht="20.100000000000001" customHeight="1" ns2:dyDescent="0.3">
      <c r="B86" s="143"/>
      <c r="C86" s="134"/>
      <c r="H86" s="60"/>
      <c r="I86" s="60"/>
      <c r="K86" s="60"/>
      <c r="P86" s="279"/>
      <c r="Q86" s="134"/>
      <c r="S86" s="60"/>
      <c r="T86" s="22"/>
      <c r="U86" s="30"/>
      <c r="V86" s="20"/>
      <c r="W86" s="20"/>
      <c r="X86" s="20"/>
    </row>
    <row r="87" spans="1:24" s="21" customFormat="1" ht="20.100000000000001" customHeight="1" ns2:dyDescent="0.3">
      <c r="B87" s="143"/>
      <c r="C87" s="134"/>
      <c r="H87" s="60"/>
      <c r="I87" s="60"/>
      <c r="K87" s="60"/>
      <c r="P87" s="279"/>
      <c r="Q87" s="134"/>
      <c r="S87" s="60"/>
      <c r="T87" s="22"/>
      <c r="U87" s="30"/>
      <c r="V87" s="20"/>
      <c r="W87" s="20"/>
      <c r="X87" s="20"/>
    </row>
    <row r="88" spans="1:24" s="21" customFormat="1" ht="20.100000000000001" customHeight="1" ns2:dyDescent="0.3">
      <c r="B88" s="143"/>
      <c r="C88" s="134"/>
      <c r="H88" s="60"/>
      <c r="I88" s="60"/>
      <c r="K88" s="60"/>
      <c r="P88" s="279"/>
      <c r="Q88" s="134"/>
      <c r="S88" s="60"/>
      <c r="T88" s="22"/>
      <c r="U88" s="30"/>
      <c r="V88" s="20"/>
      <c r="W88" s="20"/>
      <c r="X88" s="20"/>
    </row>
    <row r="89" spans="1:24" s="21" customFormat="1" ht="20.100000000000001" customHeight="1" ns2:dyDescent="0.3">
      <c r="B89" s="143"/>
      <c r="C89" s="134"/>
      <c r="H89" s="60"/>
      <c r="I89" s="60"/>
      <c r="K89" s="60"/>
      <c r="P89" s="279"/>
      <c r="Q89" s="134"/>
      <c r="S89" s="60"/>
      <c r="T89" s="22"/>
      <c r="U89" s="30"/>
      <c r="V89" s="20"/>
      <c r="W89" s="20"/>
      <c r="X89" s="20"/>
    </row>
    <row r="90" spans="1:24" s="21" customFormat="1" ht="20.100000000000001" customHeight="1" ns2:dyDescent="0.3">
      <c r="B90" s="143"/>
      <c r="C90" s="134"/>
      <c r="H90" s="60"/>
      <c r="I90" s="60"/>
      <c r="K90" s="60"/>
      <c r="P90" s="279"/>
      <c r="Q90" s="134"/>
      <c r="S90" s="60"/>
      <c r="T90" s="22"/>
      <c r="U90" s="30"/>
      <c r="V90" s="20"/>
      <c r="W90" s="20"/>
      <c r="X90" s="20"/>
    </row>
    <row r="91" spans="1:24" s="21" customFormat="1" ht="20.100000000000001" customHeight="1" ns2:dyDescent="0.3">
      <c r="B91" s="143"/>
      <c r="C91" s="134"/>
      <c r="H91" s="60"/>
      <c r="I91" s="60"/>
      <c r="K91" s="60"/>
      <c r="P91" s="279"/>
      <c r="Q91" s="134"/>
      <c r="S91" s="60"/>
      <c r="T91" s="22"/>
      <c r="U91" s="30"/>
      <c r="V91" s="20"/>
      <c r="W91" s="20"/>
      <c r="X91" s="20"/>
    </row>
    <row r="92" spans="1:24" s="21" customFormat="1" ht="20.100000000000001" customHeight="1" ns2:dyDescent="0.3">
      <c r="B92" s="143"/>
      <c r="C92" s="134"/>
      <c r="H92" s="60"/>
      <c r="I92" s="60"/>
      <c r="K92" s="60"/>
      <c r="P92" s="279"/>
      <c r="Q92" s="134"/>
      <c r="S92" s="60"/>
      <c r="T92" s="22"/>
      <c r="U92" s="30"/>
      <c r="V92" s="20"/>
      <c r="W92" s="20"/>
      <c r="X92" s="20"/>
    </row>
    <row r="93" spans="1:24" s="21" customFormat="1" ht="20.100000000000001" customHeight="1" ns2:dyDescent="0.3">
      <c r="A93" s="20"/>
      <c r="B93" s="139"/>
      <c r="C93" s="135"/>
      <c r="D93" s="20"/>
      <c r="E93" s="20"/>
      <c r="F93" s="20"/>
      <c r="G93" s="20"/>
      <c r="H93" s="60"/>
      <c r="I93" s="60"/>
      <c r="J93" s="20"/>
      <c r="K93" s="60"/>
      <c r="L93" s="20"/>
      <c r="M93" s="20"/>
      <c r="N93" s="20"/>
      <c r="O93" s="20"/>
      <c r="P93" s="281"/>
      <c r="Q93" s="135"/>
      <c r="S93" s="60"/>
      <c r="T93" s="22"/>
      <c r="U93" s="30"/>
      <c r="V93" s="20"/>
      <c r="W93" s="20"/>
      <c r="X93" s="20"/>
    </row>
    <row r="94" spans="1:24" s="21" customFormat="1" ht="20.100000000000001" customHeight="1" ns2:dyDescent="0.3">
      <c r="A94" s="20"/>
      <c r="B94" s="139"/>
      <c r="C94" s="135"/>
      <c r="D94" s="20"/>
      <c r="E94" s="20"/>
      <c r="F94" s="20"/>
      <c r="G94" s="20"/>
      <c r="H94" s="60"/>
      <c r="I94" s="60"/>
      <c r="J94" s="20"/>
      <c r="K94" s="60"/>
      <c r="L94" s="20"/>
      <c r="M94" s="20"/>
      <c r="N94" s="20"/>
      <c r="O94" s="20"/>
      <c r="P94" s="281"/>
      <c r="Q94" s="135"/>
      <c r="S94" s="60"/>
      <c r="T94" s="22"/>
      <c r="U94" s="30"/>
      <c r="V94" s="20"/>
      <c r="W94" s="20"/>
      <c r="X94" s="20"/>
    </row>
    <row r="95" spans="1:24" s="21" customFormat="1" ht="20.100000000000001" customHeight="1" ns2:dyDescent="0.3">
      <c r="A95" s="20"/>
      <c r="B95" s="139"/>
      <c r="C95" s="135"/>
      <c r="D95" s="20"/>
      <c r="E95" s="20"/>
      <c r="F95" s="20"/>
      <c r="G95" s="20"/>
      <c r="H95" s="60"/>
      <c r="I95" s="60"/>
      <c r="J95" s="20"/>
      <c r="K95" s="60"/>
      <c r="L95" s="20"/>
      <c r="M95" s="20"/>
      <c r="N95" s="20"/>
      <c r="O95" s="20"/>
      <c r="P95" s="281"/>
      <c r="Q95" s="135"/>
      <c r="S95" s="60"/>
      <c r="T95" s="22"/>
      <c r="U95" s="30"/>
      <c r="V95" s="20"/>
      <c r="W95" s="20"/>
      <c r="X95" s="20"/>
    </row>
    <row r="96" spans="1:24" s="21" customFormat="1" ht="20.100000000000001" customHeight="1" ns2:dyDescent="0.3">
      <c r="A96" s="20"/>
      <c r="B96" s="139"/>
      <c r="C96" s="135"/>
      <c r="D96" s="20"/>
      <c r="E96" s="20"/>
      <c r="F96" s="20"/>
      <c r="G96" s="20"/>
      <c r="H96" s="60"/>
      <c r="I96" s="60"/>
      <c r="J96" s="20"/>
      <c r="K96" s="60"/>
      <c r="L96" s="20"/>
      <c r="M96" s="20"/>
      <c r="N96" s="20"/>
      <c r="O96" s="20"/>
      <c r="P96" s="281"/>
      <c r="Q96" s="135"/>
      <c r="S96" s="60"/>
      <c r="T96" s="22"/>
      <c r="U96" s="30"/>
      <c r="V96" s="20"/>
      <c r="W96" s="20"/>
      <c r="X96" s="20"/>
    </row>
    <row r="97" spans="1:24" s="21" customFormat="1" ht="20.100000000000001" customHeight="1" ns2:dyDescent="0.3">
      <c r="A97" s="20"/>
      <c r="B97" s="139"/>
      <c r="C97" s="135"/>
      <c r="D97" s="20"/>
      <c r="E97" s="20"/>
      <c r="F97" s="20"/>
      <c r="G97" s="20"/>
      <c r="H97" s="60"/>
      <c r="I97" s="60"/>
      <c r="J97" s="20"/>
      <c r="K97" s="60"/>
      <c r="L97" s="20"/>
      <c r="M97" s="20"/>
      <c r="N97" s="20"/>
      <c r="O97" s="20"/>
      <c r="P97" s="281"/>
      <c r="Q97" s="135"/>
      <c r="S97" s="60"/>
      <c r="T97" s="22"/>
      <c r="U97" s="30"/>
      <c r="V97" s="20"/>
      <c r="W97" s="20"/>
      <c r="X97" s="20"/>
    </row>
    <row r="98" spans="1:24" s="21" customFormat="1" ht="20.100000000000001" customHeight="1" ns2:dyDescent="0.3">
      <c r="A98" s="20"/>
      <c r="B98" s="139"/>
      <c r="C98" s="135"/>
      <c r="D98" s="20"/>
      <c r="E98" s="20"/>
      <c r="F98" s="20"/>
      <c r="G98" s="20"/>
      <c r="H98" s="60"/>
      <c r="I98" s="60"/>
      <c r="J98" s="20"/>
      <c r="K98" s="60"/>
      <c r="L98" s="20"/>
      <c r="M98" s="20"/>
      <c r="N98" s="20"/>
      <c r="O98" s="20"/>
      <c r="P98" s="281"/>
      <c r="Q98" s="135"/>
      <c r="S98" s="60"/>
      <c r="T98" s="22"/>
      <c r="U98" s="30"/>
      <c r="V98" s="20"/>
      <c r="W98" s="20"/>
      <c r="X98" s="20"/>
    </row>
    <row r="99" spans="1:24" s="21" customFormat="1" ht="20.100000000000001" customHeight="1" ns2:dyDescent="0.3">
      <c r="A99" s="20"/>
      <c r="B99" s="139"/>
      <c r="C99" s="135"/>
      <c r="D99" s="20"/>
      <c r="E99" s="20"/>
      <c r="F99" s="20"/>
      <c r="G99" s="20"/>
      <c r="H99" s="60"/>
      <c r="I99" s="60"/>
      <c r="J99" s="20"/>
      <c r="K99" s="60"/>
      <c r="L99" s="20"/>
      <c r="M99" s="20"/>
      <c r="N99" s="20"/>
      <c r="O99" s="20"/>
      <c r="P99" s="281"/>
      <c r="Q99" s="135"/>
      <c r="S99" s="60"/>
      <c r="T99" s="22"/>
      <c r="U99" s="30"/>
      <c r="V99" s="20"/>
      <c r="W99" s="20"/>
      <c r="X99" s="20"/>
    </row>
    <row r="100" spans="1:24" s="21" customFormat="1" ht="20.100000000000001" customHeight="1" ns2:dyDescent="0.3">
      <c r="A100" s="20"/>
      <c r="B100" s="139"/>
      <c r="C100" s="135"/>
      <c r="D100" s="20"/>
      <c r="E100" s="20"/>
      <c r="F100" s="20"/>
      <c r="G100" s="20"/>
      <c r="H100" s="60"/>
      <c r="I100" s="60"/>
      <c r="J100" s="20"/>
      <c r="K100" s="60"/>
      <c r="L100" s="20"/>
      <c r="M100" s="20"/>
      <c r="N100" s="20"/>
      <c r="O100" s="20"/>
      <c r="P100" s="281"/>
      <c r="Q100" s="135"/>
      <c r="S100" s="60"/>
      <c r="T100" s="22"/>
      <c r="U100" s="30"/>
      <c r="V100" s="20"/>
      <c r="W100" s="20"/>
      <c r="X100" s="20"/>
    </row>
    <row r="101" spans="1:24" s="21" customFormat="1" ht="20.100000000000001" customHeight="1" ns2:dyDescent="0.3">
      <c r="A101" s="20"/>
      <c r="B101" s="139"/>
      <c r="C101" s="135"/>
      <c r="D101" s="20"/>
      <c r="E101" s="20"/>
      <c r="F101" s="20"/>
      <c r="G101" s="20"/>
      <c r="H101" s="60"/>
      <c r="I101" s="60"/>
      <c r="J101" s="20"/>
      <c r="K101" s="60"/>
      <c r="L101" s="20"/>
      <c r="M101" s="20"/>
      <c r="N101" s="20"/>
      <c r="O101" s="20"/>
      <c r="P101" s="281"/>
      <c r="Q101" s="135"/>
      <c r="S101" s="60"/>
      <c r="T101" s="22"/>
      <c r="U101" s="30"/>
      <c r="V101" s="20"/>
      <c r="W101" s="20"/>
      <c r="X101" s="20"/>
    </row>
    <row r="102" spans="1:24" s="21" customFormat="1" ht="20.100000000000001" customHeight="1" ns2:dyDescent="0.3">
      <c r="A102" s="20"/>
      <c r="B102" s="139"/>
      <c r="C102" s="135"/>
      <c r="D102" s="20"/>
      <c r="E102" s="20"/>
      <c r="F102" s="20"/>
      <c r="G102" s="20"/>
      <c r="H102" s="60"/>
      <c r="I102" s="60"/>
      <c r="J102" s="20"/>
      <c r="K102" s="60"/>
      <c r="L102" s="20"/>
      <c r="M102" s="20"/>
      <c r="N102" s="20"/>
      <c r="O102" s="20"/>
      <c r="P102" s="281"/>
      <c r="Q102" s="135"/>
      <c r="S102" s="60"/>
      <c r="U102" s="30"/>
      <c r="V102" s="20"/>
      <c r="W102" s="20"/>
      <c r="X102" s="20"/>
    </row>
    <row r="103" spans="1:24" s="21" customFormat="1" ht="18" customHeight="1" ns2:dyDescent="0.3">
      <c r="A103" s="20"/>
      <c r="B103" s="139"/>
      <c r="C103" s="135"/>
      <c r="D103" s="20"/>
      <c r="E103" s="20"/>
      <c r="F103" s="20"/>
      <c r="G103" s="20"/>
      <c r="H103" s="60"/>
      <c r="I103" s="60"/>
      <c r="J103" s="20"/>
      <c r="K103" s="60"/>
      <c r="L103" s="20"/>
      <c r="M103" s="20"/>
      <c r="N103" s="20"/>
      <c r="O103" s="20"/>
      <c r="P103" s="281"/>
      <c r="Q103" s="135"/>
      <c r="R103" s="20"/>
      <c r="S103" s="60"/>
      <c r="T103" s="20"/>
      <c r="U103" s="30"/>
      <c r="V103" s="20"/>
      <c r="W103" s="20"/>
      <c r="X103" s="20"/>
    </row>
    <row r="104" spans="1:24" s="21" customFormat="1" ht="18" customHeight="1" ns2:dyDescent="0.3">
      <c r="A104" s="20"/>
      <c r="B104" s="139"/>
      <c r="C104" s="135"/>
      <c r="D104" s="20"/>
      <c r="E104" s="20"/>
      <c r="F104" s="20"/>
      <c r="G104" s="20"/>
      <c r="H104" s="60"/>
      <c r="I104" s="60"/>
      <c r="J104" s="20"/>
      <c r="K104" s="60"/>
      <c r="L104" s="20"/>
      <c r="M104" s="20"/>
      <c r="N104" s="20"/>
      <c r="O104" s="20"/>
      <c r="P104" s="281"/>
      <c r="Q104" s="135"/>
      <c r="R104" s="20"/>
      <c r="S104" s="60"/>
      <c r="T104" s="20"/>
      <c r="U104" s="30"/>
      <c r="V104" s="20"/>
      <c r="W104" s="20"/>
      <c r="X104" s="20"/>
    </row>
    <row r="105" spans="1:24" s="21" customFormat="1" ht="18" customHeight="1" ns2:dyDescent="0.3">
      <c r="A105" s="20"/>
      <c r="B105" s="139"/>
      <c r="C105" s="135"/>
      <c r="D105" s="20"/>
      <c r="E105" s="20"/>
      <c r="F105" s="20"/>
      <c r="G105" s="20"/>
      <c r="H105" s="60"/>
      <c r="I105" s="60"/>
      <c r="J105" s="20"/>
      <c r="K105" s="60"/>
      <c r="L105" s="20"/>
      <c r="M105" s="20"/>
      <c r="N105" s="20"/>
      <c r="O105" s="20"/>
      <c r="P105" s="281"/>
      <c r="Q105" s="135"/>
      <c r="R105" s="20"/>
      <c r="S105" s="60"/>
      <c r="T105" s="20"/>
      <c r="U105" s="30"/>
      <c r="V105" s="20"/>
      <c r="W105" s="20"/>
      <c r="X105" s="20"/>
    </row>
    <row r="106" spans="1:24" s="21" customFormat="1" ht="18" customHeight="1" ns2:dyDescent="0.3">
      <c r="A106" s="20"/>
      <c r="B106" s="139"/>
      <c r="C106" s="135"/>
      <c r="D106" s="20"/>
      <c r="E106" s="20"/>
      <c r="F106" s="20"/>
      <c r="G106" s="20"/>
      <c r="H106" s="60"/>
      <c r="I106" s="60"/>
      <c r="J106" s="20"/>
      <c r="K106" s="60"/>
      <c r="L106" s="20"/>
      <c r="M106" s="20"/>
      <c r="N106" s="20"/>
      <c r="O106" s="20"/>
      <c r="P106" s="281"/>
      <c r="Q106" s="135"/>
      <c r="R106" s="20"/>
      <c r="S106" s="60"/>
      <c r="T106" s="20"/>
      <c r="U106" s="30"/>
      <c r="V106" s="20"/>
      <c r="W106" s="20"/>
      <c r="X106" s="20"/>
    </row>
    <row r="107" spans="1:24" s="21" customFormat="1" ht="18" customHeight="1" ns2:dyDescent="0.3">
      <c r="A107" s="20"/>
      <c r="B107" s="139"/>
      <c r="C107" s="135"/>
      <c r="D107" s="20"/>
      <c r="E107" s="20"/>
      <c r="F107" s="20"/>
      <c r="G107" s="20"/>
      <c r="H107" s="60"/>
      <c r="I107" s="60"/>
      <c r="J107" s="20"/>
      <c r="K107" s="60"/>
      <c r="L107" s="20"/>
      <c r="M107" s="20"/>
      <c r="N107" s="20"/>
      <c r="O107" s="20"/>
      <c r="P107" s="281"/>
      <c r="Q107" s="135"/>
      <c r="R107" s="20"/>
      <c r="S107" s="60"/>
      <c r="T107" s="20"/>
      <c r="U107" s="30"/>
      <c r="V107" s="20"/>
      <c r="W107" s="20"/>
      <c r="X107" s="20"/>
    </row>
    <row r="108" spans="1:24" s="21" customFormat="1" ht="18" customHeight="1" ns2:dyDescent="0.3">
      <c r="A108" s="20"/>
      <c r="B108" s="139"/>
      <c r="C108" s="135"/>
      <c r="D108" s="20"/>
      <c r="E108" s="20"/>
      <c r="F108" s="20"/>
      <c r="G108" s="20"/>
      <c r="H108" s="60"/>
      <c r="I108" s="60"/>
      <c r="J108" s="20"/>
      <c r="K108" s="60"/>
      <c r="L108" s="20"/>
      <c r="M108" s="20"/>
      <c r="N108" s="20"/>
      <c r="O108" s="20"/>
      <c r="P108" s="281"/>
      <c r="Q108" s="135"/>
      <c r="R108" s="20"/>
      <c r="S108" s="60"/>
      <c r="T108" s="20"/>
      <c r="U108" s="30"/>
      <c r="V108" s="20"/>
      <c r="W108" s="20"/>
      <c r="X108" s="20"/>
    </row>
    <row r="109" spans="1:24" s="21" customFormat="1" ht="18" customHeight="1" ns2:dyDescent="0.3">
      <c r="A109" s="20"/>
      <c r="B109" s="139"/>
      <c r="C109" s="135"/>
      <c r="D109" s="20"/>
      <c r="E109" s="20"/>
      <c r="F109" s="20"/>
      <c r="G109" s="20"/>
      <c r="H109" s="60"/>
      <c r="I109" s="60"/>
      <c r="J109" s="20"/>
      <c r="K109" s="60"/>
      <c r="L109" s="20"/>
      <c r="M109" s="20"/>
      <c r="N109" s="20"/>
      <c r="O109" s="20"/>
      <c r="P109" s="281"/>
      <c r="Q109" s="135"/>
      <c r="R109" s="20"/>
      <c r="S109" s="60"/>
      <c r="T109" s="20"/>
      <c r="U109" s="30"/>
      <c r="V109" s="20"/>
      <c r="W109" s="20"/>
      <c r="X109" s="20"/>
    </row>
    <row r="110" spans="1:24" s="21" customFormat="1" ht="18" customHeight="1" ns2:dyDescent="0.3">
      <c r="A110" s="20"/>
      <c r="B110" s="139"/>
      <c r="C110" s="135"/>
      <c r="D110" s="20"/>
      <c r="E110" s="20"/>
      <c r="F110" s="20"/>
      <c r="G110" s="20"/>
      <c r="H110" s="60"/>
      <c r="I110" s="60"/>
      <c r="J110" s="20"/>
      <c r="K110" s="60"/>
      <c r="L110" s="20"/>
      <c r="M110" s="20"/>
      <c r="N110" s="20"/>
      <c r="O110" s="20"/>
      <c r="P110" s="281"/>
      <c r="Q110" s="135"/>
      <c r="R110" s="20"/>
      <c r="S110" s="60"/>
      <c r="T110" s="20"/>
      <c r="U110" s="30"/>
      <c r="V110" s="20"/>
      <c r="W110" s="20"/>
      <c r="X110" s="20"/>
    </row>
    <row r="111" spans="1:24" s="21" customFormat="1" ht="18" customHeight="1" ns2:dyDescent="0.3">
      <c r="A111" s="20"/>
      <c r="B111" s="139"/>
      <c r="C111" s="135"/>
      <c r="D111" s="20"/>
      <c r="E111" s="20"/>
      <c r="F111" s="20"/>
      <c r="G111" s="20"/>
      <c r="H111" s="60"/>
      <c r="I111" s="60"/>
      <c r="J111" s="20"/>
      <c r="K111" s="60"/>
      <c r="L111" s="20"/>
      <c r="M111" s="20"/>
      <c r="N111" s="20"/>
      <c r="O111" s="20"/>
      <c r="P111" s="281"/>
      <c r="Q111" s="135"/>
      <c r="R111" s="20"/>
      <c r="S111" s="60"/>
      <c r="T111" s="20"/>
      <c r="U111" s="30"/>
      <c r="V111" s="20"/>
      <c r="W111" s="20"/>
      <c r="X111" s="20"/>
    </row>
    <row r="112" spans="1:24" s="21" customFormat="1" ht="18" customHeight="1" ns2:dyDescent="0.3">
      <c r="A112" s="20"/>
      <c r="B112" s="139"/>
      <c r="C112" s="135"/>
      <c r="D112" s="20"/>
      <c r="E112" s="20"/>
      <c r="F112" s="20"/>
      <c r="G112" s="20"/>
      <c r="H112" s="60"/>
      <c r="I112" s="60"/>
      <c r="J112" s="20"/>
      <c r="K112" s="60"/>
      <c r="L112" s="20"/>
      <c r="M112" s="20"/>
      <c r="N112" s="20"/>
      <c r="O112" s="20"/>
      <c r="P112" s="281"/>
      <c r="Q112" s="135"/>
      <c r="R112" s="20"/>
      <c r="S112" s="60"/>
      <c r="T112" s="20"/>
      <c r="U112" s="30"/>
      <c r="V112" s="20"/>
      <c r="W112" s="20"/>
      <c r="X112" s="20"/>
    </row>
    <row r="113" spans="1:24" s="21" customFormat="1" ht="18" customHeight="1" ns2:dyDescent="0.3">
      <c r="A113" s="20"/>
      <c r="B113" s="139"/>
      <c r="C113" s="135"/>
      <c r="D113" s="20"/>
      <c r="E113" s="20"/>
      <c r="F113" s="20"/>
      <c r="G113" s="20"/>
      <c r="H113" s="60"/>
      <c r="I113" s="60"/>
      <c r="J113" s="20"/>
      <c r="K113" s="60"/>
      <c r="L113" s="20"/>
      <c r="M113" s="20"/>
      <c r="N113" s="20"/>
      <c r="O113" s="20"/>
      <c r="P113" s="281"/>
      <c r="Q113" s="135"/>
      <c r="R113" s="20"/>
      <c r="S113" s="60"/>
      <c r="T113" s="20"/>
      <c r="U113" s="30"/>
      <c r="V113" s="20"/>
      <c r="W113" s="20"/>
      <c r="X113" s="20"/>
    </row>
    <row r="114" spans="1:24" s="21" customFormat="1" ht="18" customHeight="1" ns2:dyDescent="0.3">
      <c r="A114" s="20"/>
      <c r="B114" s="139"/>
      <c r="C114" s="135"/>
      <c r="D114" s="20"/>
      <c r="E114" s="20"/>
      <c r="F114" s="20"/>
      <c r="G114" s="20"/>
      <c r="H114" s="60"/>
      <c r="I114" s="60"/>
      <c r="J114" s="20"/>
      <c r="K114" s="60"/>
      <c r="L114" s="20"/>
      <c r="M114" s="20"/>
      <c r="N114" s="20"/>
      <c r="O114" s="20"/>
      <c r="P114" s="281"/>
      <c r="Q114" s="135"/>
      <c r="R114" s="20"/>
      <c r="S114" s="60"/>
      <c r="T114" s="20"/>
      <c r="U114" s="30"/>
      <c r="V114" s="20"/>
      <c r="W114" s="20"/>
      <c r="X114" s="20"/>
    </row>
    <row r="115" spans="1:24" s="21" customFormat="1" ht="18" customHeight="1" ns2:dyDescent="0.3">
      <c r="A115" s="20"/>
      <c r="B115" s="139"/>
      <c r="C115" s="135"/>
      <c r="D115" s="20"/>
      <c r="E115" s="20"/>
      <c r="F115" s="20"/>
      <c r="G115" s="20"/>
      <c r="H115" s="60"/>
      <c r="I115" s="60"/>
      <c r="J115" s="20"/>
      <c r="K115" s="60"/>
      <c r="L115" s="20"/>
      <c r="M115" s="20"/>
      <c r="N115" s="20"/>
      <c r="O115" s="20"/>
      <c r="P115" s="281"/>
      <c r="Q115" s="135"/>
      <c r="R115" s="20"/>
      <c r="S115" s="60"/>
      <c r="T115" s="20"/>
      <c r="U115" s="30"/>
      <c r="V115" s="20"/>
      <c r="W115" s="20"/>
      <c r="X115" s="20"/>
    </row>
    <row r="116" spans="1:24" s="21" customFormat="1" ht="18" customHeight="1" ns2:dyDescent="0.3">
      <c r="A116" s="20"/>
      <c r="B116" s="139"/>
      <c r="C116" s="135"/>
      <c r="D116" s="20"/>
      <c r="E116" s="20"/>
      <c r="F116" s="20"/>
      <c r="G116" s="20"/>
      <c r="H116" s="60"/>
      <c r="I116" s="60"/>
      <c r="J116" s="20"/>
      <c r="K116" s="60"/>
      <c r="L116" s="20"/>
      <c r="M116" s="20"/>
      <c r="N116" s="20"/>
      <c r="O116" s="20"/>
      <c r="P116" s="281"/>
      <c r="Q116" s="135"/>
      <c r="R116" s="20"/>
      <c r="S116" s="60"/>
      <c r="T116" s="20"/>
      <c r="U116" s="30"/>
      <c r="V116" s="20"/>
      <c r="W116" s="20"/>
      <c r="X116" s="20"/>
    </row>
    <row r="117" spans="1:24" s="21" customFormat="1" ht="18" customHeight="1" ns2:dyDescent="0.3">
      <c r="A117" s="20"/>
      <c r="B117" s="139"/>
      <c r="C117" s="135"/>
      <c r="D117" s="20"/>
      <c r="E117" s="20"/>
      <c r="F117" s="20"/>
      <c r="G117" s="20"/>
      <c r="H117" s="60"/>
      <c r="I117" s="60"/>
      <c r="J117" s="20"/>
      <c r="K117" s="60"/>
      <c r="L117" s="20"/>
      <c r="M117" s="20"/>
      <c r="N117" s="20"/>
      <c r="O117" s="20"/>
      <c r="P117" s="281"/>
      <c r="Q117" s="135"/>
      <c r="R117" s="20"/>
      <c r="S117" s="60"/>
      <c r="T117" s="20"/>
      <c r="U117" s="30"/>
      <c r="V117" s="20"/>
      <c r="W117" s="20"/>
      <c r="X117" s="20"/>
    </row>
    <row r="118" spans="1:24" s="21" customFormat="1" ht="18" customHeight="1" ns2:dyDescent="0.3">
      <c r="A118" s="20"/>
      <c r="B118" s="139"/>
      <c r="C118" s="135"/>
      <c r="D118" s="20"/>
      <c r="E118" s="20"/>
      <c r="F118" s="20"/>
      <c r="G118" s="20"/>
      <c r="H118" s="60"/>
      <c r="I118" s="60"/>
      <c r="J118" s="20"/>
      <c r="K118" s="60"/>
      <c r="L118" s="20"/>
      <c r="M118" s="20"/>
      <c r="N118" s="20"/>
      <c r="O118" s="20"/>
      <c r="P118" s="281"/>
      <c r="Q118" s="135"/>
      <c r="R118" s="20"/>
      <c r="S118" s="60"/>
      <c r="T118" s="20"/>
      <c r="U118" s="30"/>
      <c r="V118" s="20"/>
      <c r="W118" s="20"/>
      <c r="X118" s="20"/>
    </row>
    <row r="119" spans="1:24" s="21" customFormat="1" ht="18" customHeight="1" ns2:dyDescent="0.3">
      <c r="A119" s="20"/>
      <c r="B119" s="139"/>
      <c r="C119" s="135"/>
      <c r="D119" s="20"/>
      <c r="E119" s="20"/>
      <c r="F119" s="20"/>
      <c r="G119" s="20"/>
      <c r="H119" s="60"/>
      <c r="I119" s="60"/>
      <c r="J119" s="20"/>
      <c r="K119" s="60"/>
      <c r="L119" s="20"/>
      <c r="M119" s="20"/>
      <c r="N119" s="20"/>
      <c r="O119" s="20"/>
      <c r="P119" s="281"/>
      <c r="Q119" s="135"/>
      <c r="R119" s="20"/>
      <c r="S119" s="60"/>
      <c r="T119" s="20"/>
      <c r="U119" s="30"/>
      <c r="V119" s="20"/>
      <c r="W119" s="20"/>
      <c r="X119" s="20"/>
    </row>
    <row r="120" spans="1:24" s="21" customFormat="1" ht="18" customHeight="1" ns2:dyDescent="0.3">
      <c r="A120" s="20"/>
      <c r="B120" s="139"/>
      <c r="C120" s="135"/>
      <c r="D120" s="20"/>
      <c r="E120" s="20"/>
      <c r="F120" s="20"/>
      <c r="G120" s="20"/>
      <c r="H120" s="60"/>
      <c r="I120" s="60"/>
      <c r="J120" s="20"/>
      <c r="K120" s="60"/>
      <c r="L120" s="20"/>
      <c r="M120" s="20"/>
      <c r="N120" s="20"/>
      <c r="O120" s="20"/>
      <c r="P120" s="281"/>
      <c r="Q120" s="135"/>
      <c r="R120" s="20"/>
      <c r="S120" s="60"/>
      <c r="T120" s="20"/>
      <c r="U120" s="30"/>
      <c r="V120" s="20"/>
      <c r="W120" s="20"/>
      <c r="X120" s="20"/>
    </row>
    <row r="121" spans="1:24" s="21" customFormat="1" ht="18" customHeight="1" ns2:dyDescent="0.3">
      <c r="A121" s="20"/>
      <c r="B121" s="139"/>
      <c r="C121" s="135"/>
      <c r="D121" s="20"/>
      <c r="E121" s="20"/>
      <c r="F121" s="20"/>
      <c r="G121" s="20"/>
      <c r="H121" s="60"/>
      <c r="I121" s="60"/>
      <c r="J121" s="20"/>
      <c r="K121" s="60"/>
      <c r="L121" s="20"/>
      <c r="M121" s="20"/>
      <c r="N121" s="20"/>
      <c r="O121" s="20"/>
      <c r="P121" s="281"/>
      <c r="Q121" s="135"/>
      <c r="R121" s="20"/>
      <c r="S121" s="60"/>
      <c r="T121" s="20"/>
      <c r="U121" s="30"/>
      <c r="V121" s="20"/>
      <c r="W121" s="20"/>
      <c r="X121" s="20"/>
    </row>
    <row r="122" spans="1:24" s="21" customFormat="1" ht="18" customHeight="1" ns2:dyDescent="0.3">
      <c r="A122" s="20"/>
      <c r="B122" s="139"/>
      <c r="C122" s="135"/>
      <c r="D122" s="20"/>
      <c r="E122" s="20"/>
      <c r="F122" s="20"/>
      <c r="G122" s="20"/>
      <c r="H122" s="60"/>
      <c r="I122" s="60"/>
      <c r="J122" s="20"/>
      <c r="K122" s="60"/>
      <c r="L122" s="20"/>
      <c r="M122" s="20"/>
      <c r="N122" s="20"/>
      <c r="O122" s="20"/>
      <c r="P122" s="281"/>
      <c r="Q122" s="135"/>
      <c r="R122" s="20"/>
      <c r="S122" s="60"/>
      <c r="T122" s="20"/>
      <c r="U122" s="30"/>
      <c r="V122" s="20"/>
      <c r="W122" s="20"/>
      <c r="X122" s="20"/>
    </row>
    <row r="123" spans="1:24" s="21" customFormat="1" ht="18" customHeight="1" ns2:dyDescent="0.3">
      <c r="A123" s="20"/>
      <c r="B123" s="139"/>
      <c r="C123" s="135"/>
      <c r="D123" s="20"/>
      <c r="E123" s="20"/>
      <c r="F123" s="20"/>
      <c r="G123" s="20"/>
      <c r="H123" s="60"/>
      <c r="I123" s="60"/>
      <c r="J123" s="20"/>
      <c r="K123" s="60"/>
      <c r="L123" s="20"/>
      <c r="M123" s="20"/>
      <c r="N123" s="20"/>
      <c r="O123" s="20"/>
      <c r="P123" s="281"/>
      <c r="Q123" s="135"/>
      <c r="R123" s="20"/>
      <c r="S123" s="60"/>
      <c r="T123" s="20"/>
      <c r="U123" s="30"/>
      <c r="V123" s="20"/>
      <c r="W123" s="20"/>
      <c r="X123" s="20"/>
    </row>
    <row r="124" spans="1:24" s="21" customFormat="1" ht="18" customHeight="1" ns2:dyDescent="0.3">
      <c r="A124" s="20"/>
      <c r="B124" s="139"/>
      <c r="C124" s="135"/>
      <c r="D124" s="20"/>
      <c r="E124" s="20"/>
      <c r="F124" s="20"/>
      <c r="G124" s="20"/>
      <c r="H124" s="60"/>
      <c r="I124" s="60"/>
      <c r="J124" s="20"/>
      <c r="K124" s="60"/>
      <c r="L124" s="20"/>
      <c r="M124" s="20"/>
      <c r="N124" s="20"/>
      <c r="O124" s="20"/>
      <c r="P124" s="281"/>
      <c r="Q124" s="135"/>
      <c r="R124" s="20"/>
      <c r="S124" s="60"/>
      <c r="T124" s="20"/>
      <c r="U124" s="30"/>
      <c r="V124" s="20"/>
      <c r="W124" s="20"/>
      <c r="X124" s="20"/>
    </row>
    <row r="125" spans="1:24" s="21" customFormat="1" ht="18" customHeight="1" ns2:dyDescent="0.3">
      <c r="A125" s="20"/>
      <c r="B125" s="139"/>
      <c r="C125" s="135"/>
      <c r="D125" s="20"/>
      <c r="E125" s="20"/>
      <c r="F125" s="20"/>
      <c r="G125" s="20"/>
      <c r="H125" s="60"/>
      <c r="I125" s="60"/>
      <c r="J125" s="20"/>
      <c r="K125" s="60"/>
      <c r="L125" s="20"/>
      <c r="M125" s="20"/>
      <c r="N125" s="20"/>
      <c r="O125" s="20"/>
      <c r="P125" s="281"/>
      <c r="Q125" s="135"/>
      <c r="R125" s="20"/>
      <c r="S125" s="60"/>
      <c r="T125" s="20"/>
      <c r="U125" s="30"/>
      <c r="V125" s="20"/>
      <c r="W125" s="20"/>
      <c r="X125" s="20"/>
    </row>
    <row r="126" spans="1:24" s="21" customFormat="1" ht="18" customHeight="1" ns2:dyDescent="0.3">
      <c r="A126" s="20"/>
      <c r="B126" s="139"/>
      <c r="C126" s="135"/>
      <c r="D126" s="20"/>
      <c r="E126" s="20"/>
      <c r="F126" s="20"/>
      <c r="G126" s="20"/>
      <c r="H126" s="60"/>
      <c r="I126" s="60"/>
      <c r="J126" s="20"/>
      <c r="K126" s="60"/>
      <c r="L126" s="20"/>
      <c r="M126" s="20"/>
      <c r="N126" s="20"/>
      <c r="O126" s="20"/>
      <c r="P126" s="281"/>
      <c r="Q126" s="135"/>
      <c r="R126" s="20"/>
      <c r="S126" s="60"/>
      <c r="T126" s="20"/>
      <c r="U126" s="30"/>
      <c r="V126" s="20"/>
      <c r="W126" s="20"/>
      <c r="X126" s="20"/>
    </row>
    <row r="127" spans="1:24" s="21" customFormat="1" ht="18" customHeight="1" ns2:dyDescent="0.3">
      <c r="A127" s="20"/>
      <c r="B127" s="139"/>
      <c r="C127" s="135"/>
      <c r="D127" s="20"/>
      <c r="E127" s="20"/>
      <c r="F127" s="20"/>
      <c r="G127" s="20"/>
      <c r="H127" s="60"/>
      <c r="I127" s="60"/>
      <c r="J127" s="20"/>
      <c r="K127" s="60"/>
      <c r="L127" s="20"/>
      <c r="M127" s="20"/>
      <c r="N127" s="20"/>
      <c r="O127" s="20"/>
      <c r="P127" s="281"/>
      <c r="Q127" s="135"/>
      <c r="R127" s="20"/>
      <c r="S127" s="60"/>
      <c r="T127" s="20"/>
      <c r="U127" s="30"/>
      <c r="V127" s="20"/>
      <c r="W127" s="20"/>
      <c r="X127" s="20"/>
    </row>
    <row r="128" spans="1:24" s="21" customFormat="1" ht="18" customHeight="1" ns2:dyDescent="0.3">
      <c r="A128" s="20"/>
      <c r="B128" s="139"/>
      <c r="C128" s="135"/>
      <c r="D128" s="20"/>
      <c r="E128" s="20"/>
      <c r="F128" s="20"/>
      <c r="G128" s="20"/>
      <c r="H128" s="60"/>
      <c r="I128" s="60"/>
      <c r="J128" s="20"/>
      <c r="K128" s="60"/>
      <c r="L128" s="20"/>
      <c r="M128" s="20"/>
      <c r="N128" s="20"/>
      <c r="O128" s="20"/>
      <c r="P128" s="281"/>
      <c r="Q128" s="135"/>
      <c r="R128" s="20"/>
      <c r="S128" s="60"/>
      <c r="T128" s="20"/>
      <c r="U128" s="30"/>
      <c r="V128" s="20"/>
      <c r="W128" s="20"/>
      <c r="X128" s="20"/>
    </row>
    <row r="129" spans="1:24" s="21" customFormat="1" ht="18" customHeight="1" ns2:dyDescent="0.3">
      <c r="A129" s="20"/>
      <c r="B129" s="139"/>
      <c r="C129" s="135"/>
      <c r="D129" s="20"/>
      <c r="E129" s="20"/>
      <c r="F129" s="20"/>
      <c r="G129" s="20"/>
      <c r="H129" s="60"/>
      <c r="I129" s="60"/>
      <c r="J129" s="20"/>
      <c r="K129" s="60"/>
      <c r="L129" s="20"/>
      <c r="M129" s="20"/>
      <c r="N129" s="20"/>
      <c r="O129" s="20"/>
      <c r="P129" s="281"/>
      <c r="Q129" s="135"/>
      <c r="R129" s="20"/>
      <c r="S129" s="60"/>
      <c r="T129" s="20"/>
      <c r="U129" s="30"/>
      <c r="V129" s="20"/>
      <c r="W129" s="20"/>
      <c r="X129" s="20"/>
    </row>
    <row r="130" spans="1:24" s="21" customFormat="1" ht="18" customHeight="1" ns2:dyDescent="0.3">
      <c r="A130" s="20"/>
      <c r="B130" s="139"/>
      <c r="C130" s="135"/>
      <c r="D130" s="20"/>
      <c r="E130" s="20"/>
      <c r="F130" s="20"/>
      <c r="G130" s="20"/>
      <c r="H130" s="60"/>
      <c r="I130" s="60"/>
      <c r="J130" s="20"/>
      <c r="K130" s="60"/>
      <c r="L130" s="20"/>
      <c r="M130" s="20"/>
      <c r="N130" s="20"/>
      <c r="O130" s="20"/>
      <c r="P130" s="281"/>
      <c r="Q130" s="135"/>
      <c r="R130" s="20"/>
      <c r="S130" s="60"/>
      <c r="T130" s="20"/>
      <c r="U130" s="30"/>
      <c r="V130" s="20"/>
      <c r="W130" s="20"/>
      <c r="X130" s="20"/>
    </row>
    <row r="131" spans="1:24" s="21" customFormat="1" ht="18" customHeight="1" ns2:dyDescent="0.3">
      <c r="A131" s="20"/>
      <c r="B131" s="139"/>
      <c r="C131" s="135"/>
      <c r="D131" s="20"/>
      <c r="E131" s="20"/>
      <c r="F131" s="20"/>
      <c r="G131" s="20"/>
      <c r="H131" s="60"/>
      <c r="I131" s="60"/>
      <c r="J131" s="20"/>
      <c r="K131" s="60"/>
      <c r="L131" s="20"/>
      <c r="M131" s="20"/>
      <c r="N131" s="20"/>
      <c r="O131" s="20"/>
      <c r="P131" s="281"/>
      <c r="Q131" s="135"/>
      <c r="R131" s="20"/>
      <c r="S131" s="60"/>
      <c r="T131" s="20"/>
      <c r="U131" s="30"/>
      <c r="V131" s="20"/>
      <c r="W131" s="20"/>
      <c r="X131" s="20"/>
    </row>
    <row r="132" spans="1:24" s="21" customFormat="1" ht="18" customHeight="1" ns2:dyDescent="0.3">
      <c r="A132" s="20"/>
      <c r="B132" s="139"/>
      <c r="C132" s="135"/>
      <c r="D132" s="20"/>
      <c r="E132" s="20"/>
      <c r="F132" s="20"/>
      <c r="G132" s="20"/>
      <c r="H132" s="60"/>
      <c r="I132" s="60"/>
      <c r="J132" s="20"/>
      <c r="K132" s="60"/>
      <c r="L132" s="20"/>
      <c r="M132" s="20"/>
      <c r="N132" s="20"/>
      <c r="O132" s="20"/>
      <c r="P132" s="281"/>
      <c r="Q132" s="135"/>
      <c r="R132" s="20"/>
      <c r="S132" s="60"/>
      <c r="T132" s="20"/>
      <c r="U132" s="30"/>
      <c r="V132" s="20"/>
      <c r="W132" s="20"/>
      <c r="X132" s="20"/>
    </row>
    <row r="133" spans="1:24" s="21" customFormat="1" ht="18" customHeight="1" ns2:dyDescent="0.3">
      <c r="A133" s="20"/>
      <c r="B133" s="139"/>
      <c r="C133" s="135"/>
      <c r="D133" s="20"/>
      <c r="E133" s="20"/>
      <c r="F133" s="20"/>
      <c r="G133" s="20"/>
      <c r="H133" s="60"/>
      <c r="I133" s="60"/>
      <c r="J133" s="20"/>
      <c r="K133" s="60"/>
      <c r="L133" s="20"/>
      <c r="M133" s="20"/>
      <c r="N133" s="20"/>
      <c r="O133" s="20"/>
      <c r="P133" s="281"/>
      <c r="Q133" s="135"/>
      <c r="R133" s="20"/>
      <c r="S133" s="60"/>
      <c r="T133" s="20"/>
      <c r="U133" s="30"/>
      <c r="V133" s="20"/>
      <c r="W133" s="20"/>
      <c r="X133" s="20"/>
    </row>
    <row r="134" spans="1:24" s="21" customFormat="1" ht="18" customHeight="1" ns2:dyDescent="0.3">
      <c r="A134" s="20"/>
      <c r="B134" s="139"/>
      <c r="C134" s="135"/>
      <c r="D134" s="20"/>
      <c r="E134" s="20"/>
      <c r="F134" s="20"/>
      <c r="G134" s="20"/>
      <c r="H134" s="60"/>
      <c r="I134" s="60"/>
      <c r="J134" s="20"/>
      <c r="K134" s="60"/>
      <c r="L134" s="20"/>
      <c r="M134" s="20"/>
      <c r="N134" s="20"/>
      <c r="O134" s="20"/>
      <c r="P134" s="281"/>
      <c r="Q134" s="135"/>
      <c r="R134" s="20"/>
      <c r="S134" s="60"/>
      <c r="T134" s="20"/>
      <c r="U134" s="30"/>
      <c r="V134" s="20"/>
      <c r="W134" s="20"/>
      <c r="X134" s="20"/>
    </row>
    <row r="135" spans="1:24" s="21" customFormat="1" ht="18" customHeight="1" ns2:dyDescent="0.3">
      <c r="A135" s="20"/>
      <c r="B135" s="139"/>
      <c r="C135" s="135"/>
      <c r="D135" s="20"/>
      <c r="E135" s="20"/>
      <c r="F135" s="20"/>
      <c r="G135" s="20"/>
      <c r="H135" s="60"/>
      <c r="I135" s="60"/>
      <c r="J135" s="20"/>
      <c r="K135" s="60"/>
      <c r="L135" s="20"/>
      <c r="M135" s="20"/>
      <c r="N135" s="20"/>
      <c r="O135" s="20"/>
      <c r="P135" s="281"/>
      <c r="Q135" s="135"/>
      <c r="R135" s="20"/>
      <c r="S135" s="60"/>
      <c r="T135" s="20"/>
      <c r="U135" s="30"/>
      <c r="V135" s="20"/>
      <c r="W135" s="20"/>
      <c r="X135" s="20"/>
    </row>
    <row r="136" spans="1:24" s="21" customFormat="1" ht="18" customHeight="1" ns2:dyDescent="0.3">
      <c r="A136" s="20"/>
      <c r="B136" s="139"/>
      <c r="C136" s="135"/>
      <c r="D136" s="20"/>
      <c r="E136" s="20"/>
      <c r="F136" s="20"/>
      <c r="G136" s="20"/>
      <c r="H136" s="60"/>
      <c r="I136" s="60"/>
      <c r="J136" s="20"/>
      <c r="K136" s="60"/>
      <c r="L136" s="20"/>
      <c r="M136" s="20"/>
      <c r="N136" s="20"/>
      <c r="O136" s="20"/>
      <c r="P136" s="281"/>
      <c r="Q136" s="135"/>
      <c r="R136" s="20"/>
      <c r="S136" s="60"/>
      <c r="T136" s="20"/>
      <c r="U136" s="30"/>
      <c r="V136" s="20"/>
      <c r="W136" s="20"/>
      <c r="X136" s="20"/>
    </row>
    <row r="137" spans="1:24" s="21" customFormat="1" ht="18" customHeight="1" ns2:dyDescent="0.3">
      <c r="A137" s="20"/>
      <c r="B137" s="139"/>
      <c r="C137" s="135"/>
      <c r="D137" s="20"/>
      <c r="E137" s="20"/>
      <c r="F137" s="20"/>
      <c r="G137" s="20"/>
      <c r="H137" s="60"/>
      <c r="I137" s="60"/>
      <c r="J137" s="20"/>
      <c r="K137" s="60"/>
      <c r="L137" s="20"/>
      <c r="M137" s="20"/>
      <c r="N137" s="20"/>
      <c r="O137" s="20"/>
      <c r="P137" s="281"/>
      <c r="Q137" s="135"/>
      <c r="R137" s="20"/>
      <c r="S137" s="60"/>
      <c r="T137" s="20"/>
      <c r="U137" s="30"/>
      <c r="V137" s="20"/>
      <c r="W137" s="20"/>
      <c r="X137" s="20"/>
    </row>
    <row r="138" spans="1:24" s="21" customFormat="1" ht="18" customHeight="1" ns2:dyDescent="0.3">
      <c r="A138" s="20"/>
      <c r="B138" s="139"/>
      <c r="C138" s="135"/>
      <c r="D138" s="20"/>
      <c r="E138" s="20"/>
      <c r="F138" s="20"/>
      <c r="G138" s="20"/>
      <c r="H138" s="60"/>
      <c r="I138" s="60"/>
      <c r="J138" s="20"/>
      <c r="K138" s="60"/>
      <c r="L138" s="20"/>
      <c r="M138" s="20"/>
      <c r="N138" s="20"/>
      <c r="O138" s="20"/>
      <c r="P138" s="281"/>
      <c r="Q138" s="135"/>
      <c r="R138" s="20"/>
      <c r="S138" s="60"/>
      <c r="T138" s="20"/>
      <c r="U138" s="30"/>
      <c r="V138" s="20"/>
      <c r="W138" s="20"/>
      <c r="X138" s="20"/>
    </row>
    <row r="139" spans="1:24" s="21" customFormat="1" ht="18" customHeight="1" ns2:dyDescent="0.3">
      <c r="A139" s="20"/>
      <c r="B139" s="139"/>
      <c r="C139" s="135"/>
      <c r="D139" s="20"/>
      <c r="E139" s="20"/>
      <c r="F139" s="20"/>
      <c r="G139" s="20"/>
      <c r="H139" s="60"/>
      <c r="I139" s="60"/>
      <c r="J139" s="20"/>
      <c r="K139" s="60"/>
      <c r="L139" s="20"/>
      <c r="M139" s="20"/>
      <c r="N139" s="20"/>
      <c r="O139" s="20"/>
      <c r="P139" s="281"/>
      <c r="Q139" s="135"/>
      <c r="R139" s="20"/>
      <c r="S139" s="60"/>
      <c r="T139" s="20"/>
      <c r="U139" s="30"/>
      <c r="V139" s="20"/>
      <c r="W139" s="20"/>
      <c r="X139" s="20"/>
    </row>
    <row r="140" spans="1:24" s="21" customFormat="1" ht="18" customHeight="1" ns2:dyDescent="0.3">
      <c r="A140" s="20"/>
      <c r="B140" s="139"/>
      <c r="C140" s="135"/>
      <c r="D140" s="20"/>
      <c r="E140" s="20"/>
      <c r="F140" s="20"/>
      <c r="G140" s="20"/>
      <c r="H140" s="60"/>
      <c r="I140" s="60"/>
      <c r="J140" s="20"/>
      <c r="K140" s="60"/>
      <c r="L140" s="20"/>
      <c r="M140" s="20"/>
      <c r="N140" s="20"/>
      <c r="O140" s="20"/>
      <c r="P140" s="281"/>
      <c r="Q140" s="135"/>
      <c r="R140" s="20"/>
      <c r="S140" s="60"/>
      <c r="T140" s="20"/>
      <c r="U140" s="30"/>
      <c r="V140" s="20"/>
      <c r="W140" s="20"/>
      <c r="X140" s="20"/>
    </row>
    <row r="141" spans="1:24" s="21" customFormat="1" ht="18" customHeight="1" ns2:dyDescent="0.3">
      <c r="A141" s="20"/>
      <c r="B141" s="139"/>
      <c r="C141" s="135"/>
      <c r="D141" s="20"/>
      <c r="E141" s="20"/>
      <c r="F141" s="20"/>
      <c r="G141" s="20"/>
      <c r="H141" s="60"/>
      <c r="I141" s="60"/>
      <c r="J141" s="20"/>
      <c r="K141" s="60"/>
      <c r="L141" s="20"/>
      <c r="M141" s="20"/>
      <c r="N141" s="20"/>
      <c r="O141" s="20"/>
      <c r="P141" s="281"/>
      <c r="Q141" s="135"/>
      <c r="R141" s="20"/>
      <c r="S141" s="60"/>
      <c r="T141" s="20"/>
      <c r="U141" s="30"/>
      <c r="V141" s="20"/>
      <c r="W141" s="20"/>
      <c r="X141" s="20"/>
    </row>
    <row r="142" spans="1:24" s="21" customFormat="1" ht="18" customHeight="1" ns2:dyDescent="0.3">
      <c r="A142" s="20"/>
      <c r="B142" s="139"/>
      <c r="C142" s="135"/>
      <c r="D142" s="20"/>
      <c r="E142" s="20"/>
      <c r="F142" s="20"/>
      <c r="G142" s="20"/>
      <c r="H142" s="60"/>
      <c r="I142" s="60"/>
      <c r="J142" s="20"/>
      <c r="K142" s="60"/>
      <c r="L142" s="20"/>
      <c r="M142" s="20"/>
      <c r="N142" s="20"/>
      <c r="O142" s="20"/>
      <c r="P142" s="281"/>
      <c r="Q142" s="135"/>
      <c r="R142" s="20"/>
      <c r="S142" s="60"/>
      <c r="T142" s="20"/>
      <c r="U142" s="30"/>
      <c r="V142" s="20"/>
      <c r="W142" s="20"/>
      <c r="X142" s="20"/>
    </row>
    <row r="143" spans="1:24" s="21" customFormat="1" ht="18" customHeight="1" ns2:dyDescent="0.3">
      <c r="A143" s="20"/>
      <c r="B143" s="139"/>
      <c r="C143" s="135"/>
      <c r="D143" s="20"/>
      <c r="E143" s="20"/>
      <c r="F143" s="20"/>
      <c r="G143" s="20"/>
      <c r="H143" s="60"/>
      <c r="I143" s="60"/>
      <c r="J143" s="20"/>
      <c r="K143" s="60"/>
      <c r="L143" s="20"/>
      <c r="M143" s="20"/>
      <c r="N143" s="20"/>
      <c r="O143" s="20"/>
      <c r="P143" s="281"/>
      <c r="Q143" s="135"/>
      <c r="R143" s="20"/>
      <c r="S143" s="60"/>
      <c r="T143" s="20"/>
      <c r="U143" s="30"/>
      <c r="V143" s="20"/>
      <c r="W143" s="20"/>
      <c r="X143" s="20"/>
    </row>
    <row r="144" spans="1:24" s="21" customFormat="1" ht="18" customHeight="1" ns2:dyDescent="0.3">
      <c r="A144" s="20"/>
      <c r="B144" s="139"/>
      <c r="C144" s="135"/>
      <c r="D144" s="20"/>
      <c r="E144" s="20"/>
      <c r="F144" s="20"/>
      <c r="G144" s="20"/>
      <c r="H144" s="60"/>
      <c r="I144" s="60"/>
      <c r="J144" s="20"/>
      <c r="K144" s="60"/>
      <c r="L144" s="20"/>
      <c r="M144" s="20"/>
      <c r="N144" s="20"/>
      <c r="O144" s="20"/>
      <c r="P144" s="281"/>
      <c r="Q144" s="135"/>
      <c r="R144" s="20"/>
      <c r="S144" s="60"/>
      <c r="T144" s="20"/>
      <c r="U144" s="30"/>
      <c r="V144" s="20"/>
      <c r="W144" s="20"/>
      <c r="X144" s="20"/>
    </row>
    <row r="145" spans="1:24" s="21" customFormat="1" ht="18" customHeight="1" ns2:dyDescent="0.3">
      <c r="A145" s="20"/>
      <c r="B145" s="139"/>
      <c r="C145" s="135"/>
      <c r="D145" s="20"/>
      <c r="E145" s="20"/>
      <c r="F145" s="20"/>
      <c r="G145" s="20"/>
      <c r="H145" s="60"/>
      <c r="I145" s="60"/>
      <c r="J145" s="20"/>
      <c r="K145" s="60"/>
      <c r="L145" s="20"/>
      <c r="M145" s="20"/>
      <c r="N145" s="20"/>
      <c r="O145" s="20"/>
      <c r="P145" s="281"/>
      <c r="Q145" s="135"/>
      <c r="R145" s="20"/>
      <c r="S145" s="60"/>
      <c r="T145" s="20"/>
      <c r="U145" s="30"/>
      <c r="V145" s="20"/>
      <c r="W145" s="20"/>
      <c r="X145" s="20"/>
    </row>
    <row r="146" spans="1:24" s="21" customFormat="1" ht="18" customHeight="1" ns2:dyDescent="0.3">
      <c r="A146" s="20"/>
      <c r="B146" s="139"/>
      <c r="C146" s="135"/>
      <c r="D146" s="20"/>
      <c r="E146" s="20"/>
      <c r="F146" s="20"/>
      <c r="G146" s="20"/>
      <c r="H146" s="60"/>
      <c r="I146" s="60"/>
      <c r="J146" s="20"/>
      <c r="K146" s="60"/>
      <c r="L146" s="20"/>
      <c r="M146" s="20"/>
      <c r="N146" s="20"/>
      <c r="O146" s="20"/>
      <c r="P146" s="281"/>
      <c r="Q146" s="135"/>
      <c r="R146" s="20"/>
      <c r="S146" s="60"/>
      <c r="T146" s="20"/>
      <c r="U146" s="30"/>
      <c r="V146" s="20"/>
      <c r="W146" s="20"/>
      <c r="X146" s="20"/>
    </row>
    <row r="147" spans="1:24" s="21" customFormat="1" ht="18" customHeight="1" ns2:dyDescent="0.3">
      <c r="A147" s="20"/>
      <c r="B147" s="139"/>
      <c r="C147" s="135"/>
      <c r="D147" s="20"/>
      <c r="E147" s="20"/>
      <c r="F147" s="20"/>
      <c r="G147" s="20"/>
      <c r="H147" s="60"/>
      <c r="I147" s="60"/>
      <c r="J147" s="20"/>
      <c r="K147" s="60"/>
      <c r="L147" s="20"/>
      <c r="M147" s="20"/>
      <c r="N147" s="20"/>
      <c r="O147" s="20"/>
      <c r="P147" s="281"/>
      <c r="Q147" s="135"/>
      <c r="R147" s="20"/>
      <c r="S147" s="60"/>
      <c r="T147" s="20"/>
      <c r="U147" s="30"/>
      <c r="V147" s="20"/>
      <c r="W147" s="20"/>
      <c r="X147" s="20"/>
    </row>
    <row r="148" spans="1:24" s="21" customFormat="1" ht="18" customHeight="1" ns2:dyDescent="0.3">
      <c r="A148" s="20"/>
      <c r="B148" s="139"/>
      <c r="C148" s="135"/>
      <c r="D148" s="20"/>
      <c r="E148" s="20"/>
      <c r="F148" s="20"/>
      <c r="G148" s="20"/>
      <c r="H148" s="60"/>
      <c r="I148" s="60"/>
      <c r="J148" s="20"/>
      <c r="K148" s="60"/>
      <c r="L148" s="20"/>
      <c r="M148" s="20"/>
      <c r="N148" s="20"/>
      <c r="O148" s="20"/>
      <c r="P148" s="281"/>
      <c r="Q148" s="135"/>
      <c r="R148" s="20"/>
      <c r="S148" s="60"/>
      <c r="T148" s="20"/>
      <c r="U148" s="30"/>
      <c r="V148" s="20"/>
      <c r="W148" s="20"/>
      <c r="X148" s="20"/>
    </row>
    <row r="149" spans="1:24" s="21" customFormat="1" ht="18" customHeight="1" ns2:dyDescent="0.3">
      <c r="A149" s="20"/>
      <c r="B149" s="139"/>
      <c r="C149" s="135"/>
      <c r="D149" s="20"/>
      <c r="E149" s="20"/>
      <c r="F149" s="20"/>
      <c r="G149" s="20"/>
      <c r="H149" s="60"/>
      <c r="I149" s="60"/>
      <c r="J149" s="20"/>
      <c r="K149" s="60"/>
      <c r="L149" s="20"/>
      <c r="M149" s="20"/>
      <c r="N149" s="20"/>
      <c r="O149" s="20"/>
      <c r="P149" s="281"/>
      <c r="Q149" s="135"/>
      <c r="R149" s="20"/>
      <c r="S149" s="60"/>
      <c r="T149" s="20"/>
      <c r="U149" s="30"/>
      <c r="V149" s="20"/>
      <c r="W149" s="20"/>
      <c r="X149" s="20"/>
    </row>
    <row r="150" spans="1:24" s="21" customFormat="1" ht="18" customHeight="1" ns2:dyDescent="0.3">
      <c r="A150" s="20"/>
      <c r="B150" s="139"/>
      <c r="C150" s="135"/>
      <c r="D150" s="20"/>
      <c r="E150" s="20"/>
      <c r="F150" s="20"/>
      <c r="G150" s="20"/>
      <c r="H150" s="60"/>
      <c r="I150" s="60"/>
      <c r="J150" s="20"/>
      <c r="K150" s="60"/>
      <c r="L150" s="20"/>
      <c r="M150" s="20"/>
      <c r="N150" s="20"/>
      <c r="O150" s="20"/>
      <c r="P150" s="281"/>
      <c r="Q150" s="135"/>
      <c r="R150" s="20"/>
      <c r="S150" s="60"/>
      <c r="T150" s="20"/>
      <c r="U150" s="30"/>
      <c r="V150" s="20"/>
      <c r="W150" s="20"/>
      <c r="X150" s="20"/>
    </row>
    <row r="151" spans="1:24" s="21" customFormat="1" ht="18" customHeight="1" ns2:dyDescent="0.3">
      <c r="A151" s="20"/>
      <c r="B151" s="139"/>
      <c r="C151" s="135"/>
      <c r="D151" s="20"/>
      <c r="E151" s="20"/>
      <c r="F151" s="20"/>
      <c r="G151" s="20"/>
      <c r="H151" s="60"/>
      <c r="I151" s="60"/>
      <c r="J151" s="20"/>
      <c r="K151" s="60"/>
      <c r="L151" s="20"/>
      <c r="M151" s="20"/>
      <c r="N151" s="20"/>
      <c r="O151" s="20"/>
      <c r="P151" s="281"/>
      <c r="Q151" s="135"/>
      <c r="R151" s="20"/>
      <c r="S151" s="60"/>
      <c r="T151" s="20"/>
      <c r="U151" s="30"/>
      <c r="V151" s="20"/>
      <c r="W151" s="20"/>
      <c r="X151" s="20"/>
    </row>
    <row r="152" spans="1:24" s="21" customFormat="1" ht="18" customHeight="1" ns2:dyDescent="0.3">
      <c r="A152" s="20"/>
      <c r="B152" s="139"/>
      <c r="C152" s="135"/>
      <c r="D152" s="20"/>
      <c r="E152" s="20"/>
      <c r="F152" s="20"/>
      <c r="G152" s="20"/>
      <c r="H152" s="60"/>
      <c r="I152" s="60"/>
      <c r="J152" s="20"/>
      <c r="K152" s="60"/>
      <c r="L152" s="20"/>
      <c r="M152" s="20"/>
      <c r="N152" s="20"/>
      <c r="O152" s="20"/>
      <c r="P152" s="281"/>
      <c r="Q152" s="135"/>
      <c r="R152" s="20"/>
      <c r="S152" s="60"/>
      <c r="T152" s="20"/>
      <c r="U152" s="30"/>
      <c r="V152" s="20"/>
      <c r="W152" s="20"/>
      <c r="X152" s="20"/>
    </row>
    <row r="153" spans="1:24" s="21" customFormat="1" ht="18" customHeight="1" ns2:dyDescent="0.3">
      <c r="A153" s="20"/>
      <c r="B153" s="139"/>
      <c r="C153" s="135"/>
      <c r="D153" s="20"/>
      <c r="E153" s="20"/>
      <c r="F153" s="20"/>
      <c r="G153" s="20"/>
      <c r="H153" s="60"/>
      <c r="I153" s="60"/>
      <c r="J153" s="20"/>
      <c r="K153" s="60"/>
      <c r="L153" s="20"/>
      <c r="M153" s="20"/>
      <c r="N153" s="20"/>
      <c r="O153" s="20"/>
      <c r="P153" s="281"/>
      <c r="Q153" s="135"/>
      <c r="R153" s="20"/>
      <c r="S153" s="60"/>
      <c r="T153" s="20"/>
      <c r="U153" s="30"/>
      <c r="V153" s="20"/>
      <c r="W153" s="20"/>
      <c r="X153" s="20"/>
    </row>
    <row r="154" spans="1:24" s="21" customFormat="1" ht="18" customHeight="1" ns2:dyDescent="0.3">
      <c r="A154" s="20"/>
      <c r="B154" s="139"/>
      <c r="C154" s="135"/>
      <c r="D154" s="20"/>
      <c r="E154" s="20"/>
      <c r="F154" s="20"/>
      <c r="G154" s="20"/>
      <c r="H154" s="60"/>
      <c r="I154" s="60"/>
      <c r="J154" s="20"/>
      <c r="K154" s="60"/>
      <c r="L154" s="20"/>
      <c r="M154" s="20"/>
      <c r="N154" s="20"/>
      <c r="O154" s="20"/>
      <c r="P154" s="281"/>
      <c r="Q154" s="135"/>
      <c r="R154" s="20"/>
      <c r="S154" s="60"/>
      <c r="T154" s="20"/>
      <c r="U154" s="30"/>
      <c r="V154" s="20"/>
      <c r="W154" s="20"/>
      <c r="X154" s="20"/>
    </row>
    <row r="155" spans="1:24" s="21" customFormat="1" ht="18" customHeight="1" ns2:dyDescent="0.3">
      <c r="A155" s="20"/>
      <c r="B155" s="139"/>
      <c r="C155" s="135"/>
      <c r="D155" s="20"/>
      <c r="E155" s="20"/>
      <c r="F155" s="20"/>
      <c r="G155" s="20"/>
      <c r="H155" s="60"/>
      <c r="I155" s="60"/>
      <c r="J155" s="20"/>
      <c r="K155" s="60"/>
      <c r="L155" s="20"/>
      <c r="M155" s="20"/>
      <c r="N155" s="20"/>
      <c r="O155" s="20"/>
      <c r="P155" s="281"/>
      <c r="Q155" s="135"/>
      <c r="R155" s="20"/>
      <c r="S155" s="60"/>
      <c r="T155" s="20"/>
      <c r="U155" s="30"/>
      <c r="V155" s="20"/>
      <c r="W155" s="20"/>
      <c r="X155" s="20"/>
    </row>
    <row r="156" spans="1:24" s="21" customFormat="1" ht="18" customHeight="1" ns2:dyDescent="0.3">
      <c r="A156" s="20"/>
      <c r="B156" s="139"/>
      <c r="C156" s="135"/>
      <c r="D156" s="20"/>
      <c r="E156" s="20"/>
      <c r="F156" s="20"/>
      <c r="G156" s="20"/>
      <c r="H156" s="60"/>
      <c r="I156" s="60"/>
      <c r="J156" s="20"/>
      <c r="K156" s="60"/>
      <c r="L156" s="20"/>
      <c r="M156" s="20"/>
      <c r="N156" s="20"/>
      <c r="O156" s="20"/>
      <c r="P156" s="281"/>
      <c r="Q156" s="135"/>
      <c r="R156" s="20"/>
      <c r="S156" s="60"/>
      <c r="T156" s="20"/>
      <c r="U156" s="30"/>
      <c r="V156" s="20"/>
      <c r="W156" s="20"/>
      <c r="X156" s="20"/>
    </row>
    <row r="157" spans="1:24" s="21" customFormat="1" ht="18" customHeight="1" ns2:dyDescent="0.3">
      <c r="A157" s="20"/>
      <c r="B157" s="139"/>
      <c r="C157" s="135"/>
      <c r="D157" s="20"/>
      <c r="E157" s="20"/>
      <c r="F157" s="20"/>
      <c r="G157" s="20"/>
      <c r="H157" s="60"/>
      <c r="I157" s="60"/>
      <c r="J157" s="20"/>
      <c r="K157" s="60"/>
      <c r="L157" s="20"/>
      <c r="M157" s="20"/>
      <c r="N157" s="20"/>
      <c r="O157" s="20"/>
      <c r="P157" s="281"/>
      <c r="Q157" s="135"/>
      <c r="R157" s="20"/>
      <c r="S157" s="60"/>
      <c r="T157" s="20"/>
      <c r="U157" s="30"/>
      <c r="V157" s="20"/>
      <c r="W157" s="20"/>
      <c r="X157" s="20"/>
    </row>
    <row r="158" spans="1:24" s="21" customFormat="1" ht="18" customHeight="1" ns2:dyDescent="0.3">
      <c r="A158" s="20"/>
      <c r="B158" s="139"/>
      <c r="C158" s="135"/>
      <c r="D158" s="20"/>
      <c r="E158" s="20"/>
      <c r="F158" s="20"/>
      <c r="G158" s="20"/>
      <c r="H158" s="60"/>
      <c r="I158" s="60"/>
      <c r="J158" s="20"/>
      <c r="K158" s="60"/>
      <c r="L158" s="20"/>
      <c r="M158" s="20"/>
      <c r="N158" s="20"/>
      <c r="O158" s="20"/>
      <c r="P158" s="281"/>
      <c r="Q158" s="135"/>
      <c r="R158" s="20"/>
      <c r="S158" s="60"/>
      <c r="T158" s="20"/>
      <c r="U158" s="30"/>
      <c r="V158" s="20"/>
      <c r="W158" s="20"/>
      <c r="X158" s="20"/>
    </row>
    <row r="159" spans="1:24" s="21" customFormat="1" ht="18" customHeight="1" ns2:dyDescent="0.3">
      <c r="A159" s="20"/>
      <c r="B159" s="139"/>
      <c r="C159" s="135"/>
      <c r="D159" s="20"/>
      <c r="E159" s="20"/>
      <c r="F159" s="20"/>
      <c r="G159" s="20"/>
      <c r="H159" s="60"/>
      <c r="I159" s="60"/>
      <c r="J159" s="20"/>
      <c r="K159" s="60"/>
      <c r="L159" s="20"/>
      <c r="M159" s="20"/>
      <c r="N159" s="20"/>
      <c r="O159" s="20"/>
      <c r="P159" s="281"/>
      <c r="Q159" s="135"/>
      <c r="R159" s="20"/>
      <c r="S159" s="60"/>
      <c r="T159" s="20"/>
      <c r="U159" s="30"/>
      <c r="V159" s="20"/>
      <c r="W159" s="20"/>
      <c r="X159" s="20"/>
    </row>
    <row r="160" spans="1:24" s="21" customFormat="1" ht="18" customHeight="1" ns2:dyDescent="0.3">
      <c r="A160" s="20"/>
      <c r="B160" s="139"/>
      <c r="C160" s="135"/>
      <c r="D160" s="20"/>
      <c r="E160" s="20"/>
      <c r="F160" s="20"/>
      <c r="G160" s="20"/>
      <c r="H160" s="60"/>
      <c r="I160" s="60"/>
      <c r="J160" s="20"/>
      <c r="K160" s="60"/>
      <c r="L160" s="20"/>
      <c r="M160" s="20"/>
      <c r="N160" s="20"/>
      <c r="O160" s="20"/>
      <c r="P160" s="281"/>
      <c r="Q160" s="135"/>
      <c r="R160" s="20"/>
      <c r="S160" s="60"/>
      <c r="T160" s="20"/>
      <c r="U160" s="30"/>
      <c r="V160" s="20"/>
      <c r="W160" s="20"/>
      <c r="X160" s="20"/>
    </row>
    <row r="161" spans="1:24" s="21" customFormat="1" ht="18" customHeight="1" ns2:dyDescent="0.3">
      <c r="A161" s="20"/>
      <c r="B161" s="139"/>
      <c r="C161" s="135"/>
      <c r="D161" s="20"/>
      <c r="E161" s="20"/>
      <c r="F161" s="20"/>
      <c r="G161" s="20"/>
      <c r="H161" s="60"/>
      <c r="I161" s="60"/>
      <c r="J161" s="20"/>
      <c r="K161" s="60"/>
      <c r="L161" s="20"/>
      <c r="M161" s="20"/>
      <c r="N161" s="20"/>
      <c r="O161" s="20"/>
      <c r="P161" s="281"/>
      <c r="Q161" s="135"/>
      <c r="R161" s="20"/>
      <c r="S161" s="60"/>
      <c r="T161" s="20"/>
      <c r="U161" s="30"/>
      <c r="V161" s="20"/>
      <c r="W161" s="20"/>
      <c r="X161" s="20"/>
    </row>
    <row r="162" spans="1:24" s="21" customFormat="1" ht="18" customHeight="1" ns2:dyDescent="0.3">
      <c r="A162" s="20"/>
      <c r="B162" s="139"/>
      <c r="C162" s="135"/>
      <c r="D162" s="20"/>
      <c r="E162" s="20"/>
      <c r="F162" s="20"/>
      <c r="G162" s="20"/>
      <c r="H162" s="60"/>
      <c r="I162" s="60"/>
      <c r="J162" s="20"/>
      <c r="K162" s="60"/>
      <c r="L162" s="20"/>
      <c r="M162" s="20"/>
      <c r="N162" s="20"/>
      <c r="O162" s="20"/>
      <c r="P162" s="281"/>
      <c r="Q162" s="135"/>
      <c r="R162" s="20"/>
      <c r="S162" s="60"/>
      <c r="T162" s="20"/>
      <c r="U162" s="30"/>
      <c r="V162" s="20"/>
      <c r="W162" s="20"/>
      <c r="X162" s="20"/>
    </row>
    <row r="163" spans="1:24" s="21" customFormat="1" ht="18" customHeight="1" ns2:dyDescent="0.3">
      <c r="A163" s="20"/>
      <c r="B163" s="139"/>
      <c r="C163" s="135"/>
      <c r="D163" s="20"/>
      <c r="E163" s="20"/>
      <c r="F163" s="20"/>
      <c r="G163" s="20"/>
      <c r="H163" s="60"/>
      <c r="I163" s="60"/>
      <c r="J163" s="20"/>
      <c r="K163" s="60"/>
      <c r="L163" s="20"/>
      <c r="M163" s="20"/>
      <c r="N163" s="20"/>
      <c r="O163" s="20"/>
      <c r="P163" s="281"/>
      <c r="Q163" s="135"/>
      <c r="R163" s="20"/>
      <c r="S163" s="60"/>
      <c r="T163" s="20"/>
      <c r="U163" s="30"/>
      <c r="V163" s="20"/>
      <c r="W163" s="20"/>
      <c r="X163" s="20"/>
    </row>
    <row r="164" spans="1:24" s="21" customFormat="1" ht="18" customHeight="1" ns2:dyDescent="0.3">
      <c r="A164" s="20"/>
      <c r="B164" s="139"/>
      <c r="C164" s="135"/>
      <c r="D164" s="20"/>
      <c r="E164" s="20"/>
      <c r="F164" s="20"/>
      <c r="G164" s="20"/>
      <c r="H164" s="60"/>
      <c r="I164" s="60"/>
      <c r="J164" s="20"/>
      <c r="K164" s="60"/>
      <c r="L164" s="20"/>
      <c r="M164" s="20"/>
      <c r="N164" s="20"/>
      <c r="O164" s="20"/>
      <c r="P164" s="281"/>
      <c r="Q164" s="135"/>
      <c r="R164" s="20"/>
      <c r="S164" s="60"/>
      <c r="T164" s="20"/>
      <c r="U164" s="30"/>
      <c r="V164" s="20"/>
      <c r="W164" s="20"/>
      <c r="X164" s="20"/>
    </row>
    <row r="165" spans="1:24" s="21" customFormat="1" ht="18" customHeight="1" ns2:dyDescent="0.3">
      <c r="A165" s="20"/>
      <c r="B165" s="139"/>
      <c r="C165" s="135"/>
      <c r="D165" s="20"/>
      <c r="E165" s="20"/>
      <c r="F165" s="20"/>
      <c r="G165" s="20"/>
      <c r="H165" s="60"/>
      <c r="I165" s="60"/>
      <c r="J165" s="20"/>
      <c r="K165" s="60"/>
      <c r="L165" s="20"/>
      <c r="M165" s="20"/>
      <c r="N165" s="20"/>
      <c r="O165" s="20"/>
      <c r="P165" s="281"/>
      <c r="Q165" s="135"/>
      <c r="R165" s="20"/>
      <c r="S165" s="60"/>
      <c r="T165" s="20"/>
      <c r="U165" s="30"/>
      <c r="V165" s="20"/>
      <c r="W165" s="20"/>
      <c r="X165" s="20"/>
    </row>
    <row r="166" spans="1:24" s="21" customFormat="1" ht="18" customHeight="1" ns2:dyDescent="0.3">
      <c r="A166" s="20"/>
      <c r="B166" s="139"/>
      <c r="C166" s="135"/>
      <c r="D166" s="20"/>
      <c r="E166" s="20"/>
      <c r="F166" s="20"/>
      <c r="G166" s="20"/>
      <c r="H166" s="60"/>
      <c r="I166" s="60"/>
      <c r="J166" s="20"/>
      <c r="K166" s="60"/>
      <c r="L166" s="20"/>
      <c r="M166" s="20"/>
      <c r="N166" s="20"/>
      <c r="O166" s="20"/>
      <c r="P166" s="281"/>
      <c r="Q166" s="135"/>
      <c r="R166" s="20"/>
      <c r="S166" s="60"/>
      <c r="T166" s="20"/>
      <c r="U166" s="30"/>
      <c r="V166" s="20"/>
      <c r="W166" s="20"/>
      <c r="X166" s="20"/>
    </row>
    <row r="167" spans="1:24" s="21" customFormat="1" ht="18" customHeight="1" ns2:dyDescent="0.3">
      <c r="A167" s="20"/>
      <c r="B167" s="139"/>
      <c r="C167" s="135"/>
      <c r="D167" s="20"/>
      <c r="E167" s="20"/>
      <c r="F167" s="20"/>
      <c r="G167" s="20"/>
      <c r="H167" s="60"/>
      <c r="I167" s="60"/>
      <c r="J167" s="20"/>
      <c r="K167" s="60"/>
      <c r="L167" s="20"/>
      <c r="M167" s="20"/>
      <c r="N167" s="20"/>
      <c r="O167" s="20"/>
      <c r="P167" s="281"/>
      <c r="Q167" s="135"/>
      <c r="R167" s="20"/>
      <c r="S167" s="60"/>
      <c r="T167" s="20"/>
      <c r="U167" s="30"/>
      <c r="V167" s="20"/>
      <c r="W167" s="20"/>
      <c r="X167" s="20"/>
    </row>
    <row r="168" spans="1:24" s="21" customFormat="1" ht="18" customHeight="1" ns2:dyDescent="0.3">
      <c r="A168" s="20"/>
      <c r="B168" s="139"/>
      <c r="C168" s="135"/>
      <c r="D168" s="20"/>
      <c r="E168" s="20"/>
      <c r="F168" s="20"/>
      <c r="G168" s="20"/>
      <c r="H168" s="60"/>
      <c r="I168" s="60"/>
      <c r="J168" s="20"/>
      <c r="K168" s="60"/>
      <c r="L168" s="20"/>
      <c r="M168" s="20"/>
      <c r="N168" s="20"/>
      <c r="O168" s="20"/>
      <c r="P168" s="281"/>
      <c r="Q168" s="135"/>
      <c r="R168" s="20"/>
      <c r="S168" s="60"/>
      <c r="T168" s="20"/>
      <c r="U168" s="30"/>
      <c r="V168" s="20"/>
      <c r="W168" s="20"/>
      <c r="X168" s="20"/>
    </row>
    <row r="169" spans="1:24" s="21" customFormat="1" ht="18" customHeight="1" ns2:dyDescent="0.3">
      <c r="A169" s="20"/>
      <c r="B169" s="139"/>
      <c r="C169" s="135"/>
      <c r="D169" s="20"/>
      <c r="E169" s="20"/>
      <c r="F169" s="20"/>
      <c r="G169" s="20"/>
      <c r="H169" s="60"/>
      <c r="I169" s="60"/>
      <c r="J169" s="20"/>
      <c r="K169" s="60"/>
      <c r="L169" s="20"/>
      <c r="M169" s="20"/>
      <c r="N169" s="20"/>
      <c r="O169" s="20"/>
      <c r="P169" s="281"/>
      <c r="Q169" s="135"/>
      <c r="R169" s="20"/>
      <c r="S169" s="60"/>
      <c r="T169" s="20"/>
      <c r="U169" s="30"/>
      <c r="V169" s="20"/>
      <c r="W169" s="20"/>
      <c r="X169" s="20"/>
    </row>
    <row r="170" spans="1:24" s="21" customFormat="1" ht="18" customHeight="1" ns2:dyDescent="0.3">
      <c r="A170" s="20"/>
      <c r="B170" s="139"/>
      <c r="C170" s="135"/>
      <c r="D170" s="20"/>
      <c r="E170" s="20"/>
      <c r="F170" s="20"/>
      <c r="G170" s="20"/>
      <c r="H170" s="60"/>
      <c r="I170" s="60"/>
      <c r="J170" s="20"/>
      <c r="K170" s="60"/>
      <c r="L170" s="20"/>
      <c r="M170" s="20"/>
      <c r="N170" s="20"/>
      <c r="O170" s="20"/>
      <c r="P170" s="281"/>
      <c r="Q170" s="135"/>
      <c r="R170" s="20"/>
      <c r="S170" s="60"/>
      <c r="T170" s="20"/>
      <c r="U170" s="30"/>
      <c r="V170" s="20"/>
      <c r="W170" s="20"/>
      <c r="X170" s="20"/>
    </row>
    <row r="171" spans="1:24" s="21" customFormat="1" ht="18" customHeight="1" ns2:dyDescent="0.3">
      <c r="A171" s="20"/>
      <c r="B171" s="139"/>
      <c r="C171" s="135"/>
      <c r="D171" s="20"/>
      <c r="E171" s="20"/>
      <c r="F171" s="20"/>
      <c r="G171" s="20"/>
      <c r="H171" s="60"/>
      <c r="I171" s="60"/>
      <c r="J171" s="20"/>
      <c r="K171" s="60"/>
      <c r="L171" s="20"/>
      <c r="M171" s="20"/>
      <c r="N171" s="20"/>
      <c r="O171" s="20"/>
      <c r="P171" s="281"/>
      <c r="Q171" s="135"/>
      <c r="R171" s="20"/>
      <c r="S171" s="60"/>
      <c r="T171" s="20"/>
      <c r="U171" s="30"/>
      <c r="V171" s="20"/>
      <c r="W171" s="20"/>
      <c r="X171" s="20"/>
    </row>
    <row r="172" spans="1:24" s="21" customFormat="1" ht="18" customHeight="1" ns2:dyDescent="0.3">
      <c r="A172" s="20"/>
      <c r="B172" s="139"/>
      <c r="C172" s="135"/>
      <c r="D172" s="20"/>
      <c r="E172" s="20"/>
      <c r="F172" s="20"/>
      <c r="G172" s="20"/>
      <c r="H172" s="60"/>
      <c r="I172" s="60"/>
      <c r="J172" s="20"/>
      <c r="K172" s="60"/>
      <c r="L172" s="20"/>
      <c r="M172" s="20"/>
      <c r="N172" s="20"/>
      <c r="O172" s="20"/>
      <c r="P172" s="281"/>
      <c r="Q172" s="135"/>
      <c r="R172" s="20"/>
      <c r="S172" s="60"/>
      <c r="T172" s="20"/>
      <c r="U172" s="30"/>
      <c r="V172" s="20"/>
      <c r="W172" s="20"/>
      <c r="X172" s="20"/>
    </row>
    <row r="173" spans="1:24" s="21" customFormat="1" ht="18" customHeight="1" ns2:dyDescent="0.3">
      <c r="A173" s="20"/>
      <c r="B173" s="139"/>
      <c r="C173" s="135"/>
      <c r="D173" s="20"/>
      <c r="E173" s="20"/>
      <c r="F173" s="20"/>
      <c r="G173" s="20"/>
      <c r="H173" s="60"/>
      <c r="I173" s="60"/>
      <c r="J173" s="20"/>
      <c r="K173" s="60"/>
      <c r="L173" s="20"/>
      <c r="M173" s="20"/>
      <c r="N173" s="20"/>
      <c r="O173" s="20"/>
      <c r="P173" s="281"/>
      <c r="Q173" s="135"/>
      <c r="R173" s="20"/>
      <c r="S173" s="60"/>
      <c r="T173" s="20"/>
      <c r="U173" s="30"/>
      <c r="V173" s="20"/>
      <c r="W173" s="20"/>
      <c r="X173" s="20"/>
    </row>
    <row r="174" spans="1:24" s="21" customFormat="1" ht="18" customHeight="1" ns2:dyDescent="0.3">
      <c r="A174" s="20"/>
      <c r="B174" s="139"/>
      <c r="C174" s="135"/>
      <c r="D174" s="20"/>
      <c r="E174" s="20"/>
      <c r="F174" s="20"/>
      <c r="G174" s="20"/>
      <c r="H174" s="60"/>
      <c r="I174" s="60"/>
      <c r="J174" s="20"/>
      <c r="K174" s="60"/>
      <c r="L174" s="20"/>
      <c r="M174" s="20"/>
      <c r="N174" s="20"/>
      <c r="O174" s="20"/>
      <c r="P174" s="281"/>
      <c r="Q174" s="135"/>
      <c r="R174" s="20"/>
      <c r="S174" s="60"/>
      <c r="T174" s="20"/>
      <c r="U174" s="30"/>
      <c r="V174" s="20"/>
      <c r="W174" s="20"/>
      <c r="X174" s="20"/>
    </row>
    <row r="175" spans="1:24" s="21" customFormat="1" ht="18" customHeight="1" ns2:dyDescent="0.3">
      <c r="A175" s="20"/>
      <c r="B175" s="139"/>
      <c r="C175" s="135"/>
      <c r="D175" s="20"/>
      <c r="E175" s="20"/>
      <c r="F175" s="20"/>
      <c r="G175" s="20"/>
      <c r="H175" s="60"/>
      <c r="I175" s="60"/>
      <c r="J175" s="20"/>
      <c r="K175" s="60"/>
      <c r="L175" s="20"/>
      <c r="M175" s="20"/>
      <c r="N175" s="20"/>
      <c r="O175" s="20"/>
      <c r="P175" s="281"/>
      <c r="Q175" s="135"/>
      <c r="R175" s="20"/>
      <c r="S175" s="60"/>
      <c r="T175" s="20"/>
      <c r="U175" s="30"/>
      <c r="V175" s="20"/>
      <c r="W175" s="20"/>
      <c r="X175" s="20"/>
    </row>
    <row r="176" spans="1:24" s="21" customFormat="1" ht="18" customHeight="1" ns2:dyDescent="0.3">
      <c r="A176" s="20"/>
      <c r="B176" s="139"/>
      <c r="C176" s="135"/>
      <c r="D176" s="20"/>
      <c r="E176" s="20"/>
      <c r="F176" s="20"/>
      <c r="G176" s="20"/>
      <c r="H176" s="60"/>
      <c r="I176" s="60"/>
      <c r="J176" s="20"/>
      <c r="K176" s="60"/>
      <c r="L176" s="20"/>
      <c r="M176" s="20"/>
      <c r="N176" s="20"/>
      <c r="O176" s="20"/>
      <c r="P176" s="281"/>
      <c r="Q176" s="135"/>
      <c r="R176" s="20"/>
      <c r="S176" s="60"/>
      <c r="T176" s="20"/>
      <c r="U176" s="30"/>
      <c r="V176" s="20"/>
      <c r="W176" s="20"/>
      <c r="X176" s="20"/>
    </row>
    <row r="177" spans="1:24" s="21" customFormat="1" ht="18" customHeight="1" ns2:dyDescent="0.3">
      <c r="A177" s="20"/>
      <c r="B177" s="139"/>
      <c r="C177" s="135"/>
      <c r="D177" s="20"/>
      <c r="E177" s="20"/>
      <c r="F177" s="20"/>
      <c r="G177" s="20"/>
      <c r="H177" s="60"/>
      <c r="I177" s="60"/>
      <c r="J177" s="20"/>
      <c r="K177" s="60"/>
      <c r="L177" s="20"/>
      <c r="M177" s="20"/>
      <c r="N177" s="20"/>
      <c r="O177" s="20"/>
      <c r="P177" s="281"/>
      <c r="Q177" s="135"/>
      <c r="R177" s="20"/>
      <c r="S177" s="60"/>
      <c r="T177" s="20"/>
      <c r="U177" s="30"/>
      <c r="V177" s="20"/>
      <c r="W177" s="20"/>
      <c r="X177" s="20"/>
    </row>
    <row r="178" spans="1:24" s="21" customFormat="1" ht="18" customHeight="1" ns2:dyDescent="0.3">
      <c r="A178" s="20"/>
      <c r="B178" s="139"/>
      <c r="C178" s="135"/>
      <c r="D178" s="20"/>
      <c r="E178" s="20"/>
      <c r="F178" s="20"/>
      <c r="G178" s="20"/>
      <c r="H178" s="60"/>
      <c r="I178" s="60"/>
      <c r="J178" s="20"/>
      <c r="K178" s="60"/>
      <c r="L178" s="20"/>
      <c r="M178" s="20"/>
      <c r="N178" s="20"/>
      <c r="O178" s="20"/>
      <c r="P178" s="281"/>
      <c r="Q178" s="135"/>
      <c r="R178" s="20"/>
      <c r="S178" s="60"/>
      <c r="T178" s="20"/>
      <c r="U178" s="30"/>
      <c r="V178" s="20"/>
      <c r="W178" s="20"/>
      <c r="X178" s="20"/>
    </row>
    <row r="179" spans="1:24" s="21" customFormat="1" ht="18" customHeight="1" ns2:dyDescent="0.3">
      <c r="A179" s="20"/>
      <c r="B179" s="139"/>
      <c r="C179" s="135"/>
      <c r="D179" s="20"/>
      <c r="E179" s="20"/>
      <c r="F179" s="20"/>
      <c r="G179" s="20"/>
      <c r="H179" s="60"/>
      <c r="I179" s="60"/>
      <c r="J179" s="20"/>
      <c r="K179" s="60"/>
      <c r="L179" s="20"/>
      <c r="M179" s="20"/>
      <c r="N179" s="20"/>
      <c r="O179" s="20"/>
      <c r="P179" s="281"/>
      <c r="Q179" s="135"/>
      <c r="R179" s="20"/>
      <c r="S179" s="60"/>
      <c r="T179" s="20"/>
      <c r="U179" s="30"/>
      <c r="V179" s="20"/>
      <c r="W179" s="20"/>
      <c r="X179" s="20"/>
    </row>
    <row r="180" spans="1:24" s="21" customFormat="1" ht="18" customHeight="1" ns2:dyDescent="0.3">
      <c r="A180" s="20"/>
      <c r="B180" s="139"/>
      <c r="C180" s="135"/>
      <c r="D180" s="20"/>
      <c r="E180" s="20"/>
      <c r="F180" s="20"/>
      <c r="G180" s="20"/>
      <c r="H180" s="60"/>
      <c r="I180" s="60"/>
      <c r="J180" s="20"/>
      <c r="K180" s="60"/>
      <c r="L180" s="20"/>
      <c r="M180" s="20"/>
      <c r="N180" s="20"/>
      <c r="O180" s="20"/>
      <c r="P180" s="281"/>
      <c r="Q180" s="135"/>
      <c r="R180" s="20"/>
      <c r="S180" s="60"/>
      <c r="T180" s="20"/>
      <c r="U180" s="30"/>
      <c r="V180" s="20"/>
      <c r="W180" s="20"/>
      <c r="X180" s="20"/>
    </row>
    <row r="181" spans="1:24" s="21" customFormat="1" ht="18" customHeight="1" ns2:dyDescent="0.3">
      <c r="A181" s="20"/>
      <c r="B181" s="139"/>
      <c r="C181" s="135"/>
      <c r="D181" s="20"/>
      <c r="E181" s="20"/>
      <c r="F181" s="20"/>
      <c r="G181" s="20"/>
      <c r="H181" s="60"/>
      <c r="I181" s="60"/>
      <c r="J181" s="20"/>
      <c r="K181" s="60"/>
      <c r="L181" s="20"/>
      <c r="M181" s="20"/>
      <c r="N181" s="20"/>
      <c r="O181" s="20"/>
      <c r="P181" s="281"/>
      <c r="Q181" s="135"/>
      <c r="R181" s="20"/>
      <c r="S181" s="60"/>
      <c r="T181" s="20"/>
      <c r="U181" s="30"/>
      <c r="V181" s="20"/>
      <c r="W181" s="20"/>
      <c r="X181" s="20"/>
    </row>
    <row r="182" spans="1:24" s="21" customFormat="1" ht="18" customHeight="1" ns2:dyDescent="0.3">
      <c r="A182" s="20"/>
      <c r="B182" s="139"/>
      <c r="C182" s="135"/>
      <c r="D182" s="20"/>
      <c r="E182" s="20"/>
      <c r="F182" s="20"/>
      <c r="G182" s="20"/>
      <c r="H182" s="60"/>
      <c r="I182" s="60"/>
      <c r="J182" s="20"/>
      <c r="K182" s="60"/>
      <c r="L182" s="20"/>
      <c r="M182" s="20"/>
      <c r="N182" s="20"/>
      <c r="O182" s="20"/>
      <c r="P182" s="281"/>
      <c r="Q182" s="135"/>
      <c r="R182" s="20"/>
      <c r="S182" s="60"/>
      <c r="T182" s="20"/>
      <c r="U182" s="30"/>
      <c r="V182" s="20"/>
      <c r="W182" s="20"/>
      <c r="X182" s="20"/>
    </row>
    <row r="183" spans="1:24" s="21" customFormat="1" ht="18" customHeight="1" ns2:dyDescent="0.3">
      <c r="A183" s="20"/>
      <c r="B183" s="139"/>
      <c r="C183" s="135"/>
      <c r="D183" s="20"/>
      <c r="E183" s="20"/>
      <c r="F183" s="20"/>
      <c r="G183" s="20"/>
      <c r="H183" s="60"/>
      <c r="I183" s="60"/>
      <c r="J183" s="20"/>
      <c r="K183" s="60"/>
      <c r="L183" s="20"/>
      <c r="M183" s="20"/>
      <c r="N183" s="20"/>
      <c r="O183" s="20"/>
      <c r="P183" s="281"/>
      <c r="Q183" s="135"/>
      <c r="R183" s="20"/>
      <c r="S183" s="60"/>
      <c r="T183" s="20"/>
      <c r="U183" s="30"/>
      <c r="V183" s="20"/>
      <c r="W183" s="20"/>
      <c r="X183" s="20"/>
    </row>
    <row r="184" spans="1:24" s="21" customFormat="1" ht="18" customHeight="1" ns2:dyDescent="0.3">
      <c r="A184" s="20"/>
      <c r="B184" s="139"/>
      <c r="C184" s="135"/>
      <c r="D184" s="20"/>
      <c r="E184" s="20"/>
      <c r="F184" s="20"/>
      <c r="G184" s="20"/>
      <c r="H184" s="60"/>
      <c r="I184" s="60"/>
      <c r="J184" s="20"/>
      <c r="K184" s="60"/>
      <c r="L184" s="20"/>
      <c r="M184" s="20"/>
      <c r="N184" s="20"/>
      <c r="O184" s="20"/>
      <c r="P184" s="281"/>
      <c r="Q184" s="135"/>
      <c r="R184" s="20"/>
      <c r="S184" s="60"/>
      <c r="T184" s="20"/>
      <c r="U184" s="30"/>
      <c r="V184" s="20"/>
      <c r="W184" s="20"/>
      <c r="X184" s="20"/>
    </row>
    <row r="185" spans="1:24" s="21" customFormat="1" ht="18" customHeight="1" ns2:dyDescent="0.3">
      <c r="A185" s="20"/>
      <c r="B185" s="139"/>
      <c r="C185" s="135"/>
      <c r="D185" s="20"/>
      <c r="E185" s="20"/>
      <c r="F185" s="20"/>
      <c r="G185" s="20"/>
      <c r="H185" s="60"/>
      <c r="I185" s="60"/>
      <c r="J185" s="20"/>
      <c r="K185" s="60"/>
      <c r="L185" s="20"/>
      <c r="M185" s="20"/>
      <c r="N185" s="20"/>
      <c r="O185" s="20"/>
      <c r="P185" s="281"/>
      <c r="Q185" s="135"/>
      <c r="R185" s="20"/>
      <c r="S185" s="60"/>
      <c r="T185" s="20"/>
      <c r="U185" s="30"/>
      <c r="V185" s="20"/>
      <c r="W185" s="20"/>
      <c r="X185" s="20"/>
    </row>
    <row r="186" spans="1:24" s="21" customFormat="1" ht="18" customHeight="1" ns2:dyDescent="0.3">
      <c r="A186" s="20"/>
      <c r="B186" s="139"/>
      <c r="C186" s="135"/>
      <c r="D186" s="20"/>
      <c r="E186" s="20"/>
      <c r="F186" s="20"/>
      <c r="G186" s="20"/>
      <c r="H186" s="60"/>
      <c r="I186" s="60"/>
      <c r="J186" s="20"/>
      <c r="K186" s="60"/>
      <c r="L186" s="20"/>
      <c r="M186" s="20"/>
      <c r="N186" s="20"/>
      <c r="O186" s="20"/>
      <c r="P186" s="281"/>
      <c r="Q186" s="135"/>
      <c r="R186" s="20"/>
      <c r="S186" s="60"/>
      <c r="T186" s="20"/>
      <c r="U186" s="30"/>
      <c r="V186" s="20"/>
      <c r="W186" s="20"/>
      <c r="X186" s="20"/>
    </row>
    <row r="187" spans="1:24" s="21" customFormat="1" ht="18" customHeight="1" ns2:dyDescent="0.3">
      <c r="A187" s="20"/>
      <c r="B187" s="139"/>
      <c r="C187" s="135"/>
      <c r="D187" s="20"/>
      <c r="E187" s="20"/>
      <c r="F187" s="20"/>
      <c r="G187" s="20"/>
      <c r="H187" s="60"/>
      <c r="I187" s="60"/>
      <c r="J187" s="20"/>
      <c r="K187" s="60"/>
      <c r="L187" s="20"/>
      <c r="M187" s="20"/>
      <c r="N187" s="20"/>
      <c r="O187" s="20"/>
      <c r="P187" s="281"/>
      <c r="Q187" s="135"/>
      <c r="R187" s="20"/>
      <c r="S187" s="60"/>
      <c r="T187" s="20"/>
      <c r="U187" s="30"/>
      <c r="V187" s="20"/>
      <c r="W187" s="20"/>
      <c r="X187" s="20"/>
    </row>
    <row r="188" spans="1:24" s="21" customFormat="1" ht="18" customHeight="1" ns2:dyDescent="0.3">
      <c r="A188" s="20"/>
      <c r="B188" s="139"/>
      <c r="C188" s="135"/>
      <c r="D188" s="20"/>
      <c r="E188" s="20"/>
      <c r="F188" s="20"/>
      <c r="G188" s="20"/>
      <c r="H188" s="60"/>
      <c r="I188" s="60"/>
      <c r="J188" s="20"/>
      <c r="K188" s="60"/>
      <c r="L188" s="20"/>
      <c r="M188" s="20"/>
      <c r="N188" s="20"/>
      <c r="O188" s="20"/>
      <c r="P188" s="281"/>
      <c r="Q188" s="135"/>
      <c r="R188" s="20"/>
      <c r="S188" s="60"/>
      <c r="T188" s="20"/>
      <c r="U188" s="30"/>
      <c r="V188" s="20"/>
      <c r="W188" s="20"/>
      <c r="X188" s="20"/>
    </row>
    <row r="189" spans="1:24" s="21" customFormat="1" ht="18" customHeight="1" ns2:dyDescent="0.3">
      <c r="A189" s="20"/>
      <c r="B189" s="139"/>
      <c r="C189" s="135"/>
      <c r="D189" s="20"/>
      <c r="E189" s="20"/>
      <c r="F189" s="20"/>
      <c r="G189" s="20"/>
      <c r="H189" s="60"/>
      <c r="I189" s="60"/>
      <c r="J189" s="20"/>
      <c r="K189" s="60"/>
      <c r="L189" s="20"/>
      <c r="M189" s="20"/>
      <c r="N189" s="20"/>
      <c r="O189" s="20"/>
      <c r="P189" s="281"/>
      <c r="Q189" s="135"/>
      <c r="R189" s="20"/>
      <c r="S189" s="60"/>
      <c r="T189" s="20"/>
      <c r="U189" s="30"/>
      <c r="V189" s="20"/>
      <c r="W189" s="20"/>
      <c r="X189" s="20"/>
    </row>
    <row r="190" spans="1:24" s="21" customFormat="1" ht="18" customHeight="1" ns2:dyDescent="0.3">
      <c r="A190" s="20"/>
      <c r="B190" s="139"/>
      <c r="C190" s="135"/>
      <c r="D190" s="20"/>
      <c r="E190" s="20"/>
      <c r="F190" s="20"/>
      <c r="G190" s="20"/>
      <c r="H190" s="60"/>
      <c r="I190" s="60"/>
      <c r="J190" s="20"/>
      <c r="K190" s="60"/>
      <c r="L190" s="20"/>
      <c r="M190" s="20"/>
      <c r="N190" s="20"/>
      <c r="O190" s="20"/>
      <c r="P190" s="281"/>
      <c r="Q190" s="135"/>
      <c r="R190" s="20"/>
      <c r="S190" s="60"/>
      <c r="T190" s="20"/>
      <c r="U190" s="30"/>
      <c r="V190" s="20"/>
      <c r="W190" s="20"/>
      <c r="X190" s="20"/>
    </row>
    <row r="191" spans="1:24" s="21" customFormat="1" ht="18" customHeight="1" ns2:dyDescent="0.3">
      <c r="A191" s="20"/>
      <c r="B191" s="139"/>
      <c r="C191" s="135"/>
      <c r="D191" s="20"/>
      <c r="E191" s="20"/>
      <c r="F191" s="20"/>
      <c r="G191" s="20"/>
      <c r="H191" s="60"/>
      <c r="I191" s="60"/>
      <c r="J191" s="20"/>
      <c r="K191" s="60"/>
      <c r="L191" s="20"/>
      <c r="M191" s="20"/>
      <c r="N191" s="20"/>
      <c r="O191" s="20"/>
      <c r="P191" s="281"/>
      <c r="Q191" s="135"/>
      <c r="R191" s="20"/>
      <c r="S191" s="60"/>
      <c r="T191" s="20"/>
      <c r="U191" s="30"/>
      <c r="V191" s="20"/>
      <c r="W191" s="20"/>
      <c r="X191" s="20"/>
    </row>
    <row r="192" spans="1:24" s="21" customFormat="1" ht="18" customHeight="1" ns2:dyDescent="0.3">
      <c r="A192" s="20"/>
      <c r="B192" s="139"/>
      <c r="C192" s="135"/>
      <c r="D192" s="20"/>
      <c r="E192" s="20"/>
      <c r="F192" s="20"/>
      <c r="G192" s="20"/>
      <c r="H192" s="60"/>
      <c r="I192" s="60"/>
      <c r="J192" s="20"/>
      <c r="K192" s="60"/>
      <c r="L192" s="20"/>
      <c r="M192" s="20"/>
      <c r="N192" s="20"/>
      <c r="O192" s="20"/>
      <c r="P192" s="281"/>
      <c r="Q192" s="135"/>
      <c r="R192" s="20"/>
      <c r="S192" s="60"/>
      <c r="T192" s="20"/>
      <c r="U192" s="30"/>
      <c r="V192" s="20"/>
      <c r="W192" s="20"/>
      <c r="X192" s="20"/>
    </row>
    <row r="193" spans="1:24" s="21" customFormat="1" ht="18" customHeight="1" ns2:dyDescent="0.3">
      <c r="A193" s="20"/>
      <c r="B193" s="139"/>
      <c r="C193" s="135"/>
      <c r="D193" s="20"/>
      <c r="E193" s="20"/>
      <c r="F193" s="20"/>
      <c r="G193" s="20"/>
      <c r="H193" s="60"/>
      <c r="I193" s="60"/>
      <c r="J193" s="20"/>
      <c r="K193" s="60"/>
      <c r="L193" s="20"/>
      <c r="M193" s="20"/>
      <c r="N193" s="20"/>
      <c r="O193" s="20"/>
      <c r="P193" s="281"/>
      <c r="Q193" s="135"/>
      <c r="R193" s="20"/>
      <c r="S193" s="60"/>
      <c r="T193" s="20"/>
      <c r="U193" s="30"/>
      <c r="V193" s="20"/>
      <c r="W193" s="20"/>
      <c r="X193" s="20"/>
    </row>
    <row r="194" spans="1:24" s="21" customFormat="1" ht="18" customHeight="1" ns2:dyDescent="0.3">
      <c r="A194" s="20"/>
      <c r="B194" s="139"/>
      <c r="C194" s="135"/>
      <c r="D194" s="20"/>
      <c r="E194" s="20"/>
      <c r="F194" s="20"/>
      <c r="G194" s="20"/>
      <c r="H194" s="60"/>
      <c r="I194" s="60"/>
      <c r="J194" s="20"/>
      <c r="K194" s="60"/>
      <c r="L194" s="20"/>
      <c r="M194" s="20"/>
      <c r="N194" s="20"/>
      <c r="O194" s="20"/>
      <c r="P194" s="281"/>
      <c r="Q194" s="135"/>
      <c r="R194" s="20"/>
      <c r="S194" s="60"/>
      <c r="T194" s="20"/>
      <c r="U194" s="30"/>
      <c r="V194" s="20"/>
      <c r="W194" s="20"/>
      <c r="X194" s="20"/>
    </row>
    <row r="195" spans="1:24" s="21" customFormat="1" ht="18" customHeight="1" ns2:dyDescent="0.3">
      <c r="A195" s="20"/>
      <c r="B195" s="139"/>
      <c r="C195" s="135"/>
      <c r="D195" s="20"/>
      <c r="E195" s="20"/>
      <c r="F195" s="20"/>
      <c r="G195" s="20"/>
      <c r="H195" s="60"/>
      <c r="I195" s="60"/>
      <c r="J195" s="20"/>
      <c r="K195" s="60"/>
      <c r="L195" s="20"/>
      <c r="M195" s="20"/>
      <c r="N195" s="20"/>
      <c r="O195" s="20"/>
      <c r="P195" s="281"/>
      <c r="Q195" s="135"/>
      <c r="R195" s="20"/>
      <c r="S195" s="60"/>
      <c r="T195" s="20"/>
      <c r="U195" s="30"/>
      <c r="V195" s="20"/>
      <c r="W195" s="20"/>
      <c r="X195" s="20"/>
    </row>
    <row r="196" spans="1:24" s="21" customFormat="1" ht="18" customHeight="1" ns2:dyDescent="0.3">
      <c r="A196" s="20"/>
      <c r="B196" s="139"/>
      <c r="C196" s="135"/>
      <c r="D196" s="20"/>
      <c r="E196" s="20"/>
      <c r="F196" s="20"/>
      <c r="G196" s="20"/>
      <c r="H196" s="60"/>
      <c r="I196" s="60"/>
      <c r="J196" s="20"/>
      <c r="K196" s="60"/>
      <c r="L196" s="20"/>
      <c r="M196" s="20"/>
      <c r="N196" s="20"/>
      <c r="O196" s="20"/>
      <c r="P196" s="281"/>
      <c r="Q196" s="135"/>
      <c r="R196" s="20"/>
      <c r="S196" s="60"/>
      <c r="T196" s="20"/>
      <c r="U196" s="30"/>
      <c r="V196" s="20"/>
      <c r="W196" s="20"/>
      <c r="X196" s="20"/>
    </row>
    <row r="197" spans="1:24" s="21" customFormat="1" ht="18" customHeight="1" ns2:dyDescent="0.3">
      <c r="A197" s="20"/>
      <c r="B197" s="139"/>
      <c r="C197" s="135"/>
      <c r="D197" s="20"/>
      <c r="E197" s="20"/>
      <c r="F197" s="20"/>
      <c r="G197" s="20"/>
      <c r="H197" s="60"/>
      <c r="I197" s="60"/>
      <c r="J197" s="20"/>
      <c r="K197" s="60"/>
      <c r="L197" s="20"/>
      <c r="M197" s="20"/>
      <c r="N197" s="20"/>
      <c r="O197" s="20"/>
      <c r="P197" s="281"/>
      <c r="Q197" s="135"/>
      <c r="R197" s="20"/>
      <c r="S197" s="60"/>
      <c r="T197" s="20"/>
      <c r="U197" s="30"/>
      <c r="V197" s="20"/>
      <c r="W197" s="20"/>
      <c r="X197" s="20"/>
    </row>
    <row r="198" spans="1:24" s="21" customFormat="1" ht="18" customHeight="1" ns2:dyDescent="0.3">
      <c r="A198" s="20"/>
      <c r="B198" s="139"/>
      <c r="C198" s="135"/>
      <c r="D198" s="20"/>
      <c r="E198" s="20"/>
      <c r="F198" s="20"/>
      <c r="G198" s="20"/>
      <c r="H198" s="60"/>
      <c r="I198" s="60"/>
      <c r="J198" s="20"/>
      <c r="K198" s="60"/>
      <c r="L198" s="20"/>
      <c r="M198" s="20"/>
      <c r="N198" s="20"/>
      <c r="O198" s="20"/>
      <c r="P198" s="281"/>
      <c r="Q198" s="135"/>
      <c r="R198" s="20"/>
      <c r="S198" s="60"/>
      <c r="T198" s="20"/>
      <c r="U198" s="30"/>
      <c r="V198" s="20"/>
      <c r="W198" s="20"/>
      <c r="X198" s="20"/>
    </row>
    <row r="199" spans="1:24" s="21" customFormat="1" ht="18" customHeight="1" ns2:dyDescent="0.3">
      <c r="A199" s="20"/>
      <c r="B199" s="139"/>
      <c r="C199" s="135"/>
      <c r="D199" s="20"/>
      <c r="E199" s="20"/>
      <c r="F199" s="20"/>
      <c r="G199" s="20"/>
      <c r="H199" s="60"/>
      <c r="I199" s="60"/>
      <c r="J199" s="20"/>
      <c r="K199" s="60"/>
      <c r="L199" s="20"/>
      <c r="M199" s="20"/>
      <c r="N199" s="20"/>
      <c r="O199" s="20"/>
      <c r="P199" s="281"/>
      <c r="Q199" s="135"/>
      <c r="R199" s="20"/>
      <c r="S199" s="60"/>
      <c r="T199" s="20"/>
      <c r="U199" s="30"/>
      <c r="V199" s="20"/>
      <c r="W199" s="20"/>
      <c r="X199" s="20"/>
    </row>
    <row r="200" spans="1:24" s="21" customFormat="1" ht="18" customHeight="1" ns2:dyDescent="0.3">
      <c r="A200" s="20"/>
      <c r="B200" s="139"/>
      <c r="C200" s="135"/>
      <c r="D200" s="20"/>
      <c r="E200" s="20"/>
      <c r="F200" s="20"/>
      <c r="G200" s="20"/>
      <c r="H200" s="60"/>
      <c r="I200" s="60"/>
      <c r="J200" s="20"/>
      <c r="K200" s="60"/>
      <c r="L200" s="20"/>
      <c r="M200" s="20"/>
      <c r="N200" s="20"/>
      <c r="O200" s="20"/>
      <c r="P200" s="281"/>
      <c r="Q200" s="135"/>
      <c r="R200" s="20"/>
      <c r="S200" s="60"/>
      <c r="T200" s="20"/>
      <c r="U200" s="30"/>
      <c r="V200" s="20"/>
      <c r="W200" s="20"/>
      <c r="X200" s="20"/>
    </row>
    <row r="201" spans="1:24" s="21" customFormat="1" ht="18" customHeight="1" ns2:dyDescent="0.3">
      <c r="A201" s="20"/>
      <c r="B201" s="139"/>
      <c r="C201" s="135"/>
      <c r="D201" s="20"/>
      <c r="E201" s="20"/>
      <c r="F201" s="20"/>
      <c r="G201" s="20"/>
      <c r="H201" s="60"/>
      <c r="I201" s="60"/>
      <c r="J201" s="20"/>
      <c r="K201" s="60"/>
      <c r="L201" s="20"/>
      <c r="M201" s="20"/>
      <c r="N201" s="20"/>
      <c r="O201" s="20"/>
      <c r="P201" s="281"/>
      <c r="Q201" s="135"/>
      <c r="R201" s="20"/>
      <c r="S201" s="60"/>
      <c r="T201" s="20"/>
      <c r="U201" s="30"/>
      <c r="V201" s="20"/>
      <c r="W201" s="20"/>
      <c r="X201" s="20"/>
    </row>
    <row r="202" spans="1:24" s="21" customFormat="1" ht="18" customHeight="1" ns2:dyDescent="0.3">
      <c r="A202" s="20"/>
      <c r="B202" s="139"/>
      <c r="C202" s="135"/>
      <c r="D202" s="20"/>
      <c r="E202" s="20"/>
      <c r="F202" s="20"/>
      <c r="G202" s="20"/>
      <c r="H202" s="60"/>
      <c r="I202" s="60"/>
      <c r="J202" s="20"/>
      <c r="K202" s="60"/>
      <c r="L202" s="20"/>
      <c r="M202" s="20"/>
      <c r="N202" s="20"/>
      <c r="O202" s="20"/>
      <c r="P202" s="281"/>
      <c r="Q202" s="135"/>
      <c r="R202" s="20"/>
      <c r="S202" s="60"/>
      <c r="T202" s="20"/>
      <c r="U202" s="30"/>
      <c r="V202" s="20"/>
      <c r="W202" s="20"/>
      <c r="X202" s="20"/>
    </row>
    <row r="203" spans="1:24" s="21" customFormat="1" ht="18" customHeight="1" ns2:dyDescent="0.3">
      <c r="A203" s="20"/>
      <c r="B203" s="139"/>
      <c r="C203" s="135"/>
      <c r="D203" s="20"/>
      <c r="E203" s="20"/>
      <c r="F203" s="20"/>
      <c r="G203" s="20"/>
      <c r="H203" s="60"/>
      <c r="I203" s="60"/>
      <c r="J203" s="20"/>
      <c r="K203" s="60"/>
      <c r="L203" s="20"/>
      <c r="M203" s="20"/>
      <c r="N203" s="20"/>
      <c r="O203" s="20"/>
      <c r="P203" s="281"/>
      <c r="Q203" s="135"/>
      <c r="R203" s="20"/>
      <c r="S203" s="60"/>
      <c r="T203" s="20"/>
      <c r="U203" s="30"/>
      <c r="V203" s="20"/>
      <c r="W203" s="20"/>
      <c r="X203" s="20"/>
    </row>
    <row r="204" spans="1:24" s="21" customFormat="1" ht="18" customHeight="1" ns2:dyDescent="0.3">
      <c r="A204" s="20"/>
      <c r="B204" s="139"/>
      <c r="C204" s="135"/>
      <c r="D204" s="20"/>
      <c r="E204" s="20"/>
      <c r="F204" s="20"/>
      <c r="G204" s="20"/>
      <c r="H204" s="60"/>
      <c r="I204" s="60"/>
      <c r="J204" s="20"/>
      <c r="K204" s="60"/>
      <c r="L204" s="20"/>
      <c r="M204" s="20"/>
      <c r="N204" s="20"/>
      <c r="O204" s="20"/>
      <c r="P204" s="281"/>
      <c r="Q204" s="135"/>
      <c r="R204" s="20"/>
      <c r="S204" s="60"/>
      <c r="T204" s="20"/>
      <c r="U204" s="30"/>
      <c r="V204" s="20"/>
      <c r="W204" s="20"/>
      <c r="X204" s="20"/>
    </row>
    <row r="205" spans="1:24" s="21" customFormat="1" ht="18" customHeight="1" ns2:dyDescent="0.3">
      <c r="A205" s="20"/>
      <c r="B205" s="139"/>
      <c r="C205" s="135"/>
      <c r="D205" s="20"/>
      <c r="E205" s="20"/>
      <c r="F205" s="20"/>
      <c r="G205" s="20"/>
      <c r="H205" s="60"/>
      <c r="I205" s="60"/>
      <c r="J205" s="20"/>
      <c r="K205" s="60"/>
      <c r="L205" s="20"/>
      <c r="M205" s="20"/>
      <c r="N205" s="20"/>
      <c r="O205" s="20"/>
      <c r="P205" s="281"/>
      <c r="Q205" s="135"/>
      <c r="R205" s="20"/>
      <c r="S205" s="60"/>
      <c r="T205" s="20"/>
      <c r="U205" s="30"/>
      <c r="V205" s="20"/>
      <c r="W205" s="20"/>
      <c r="X205" s="20"/>
    </row>
    <row r="206" spans="1:24" s="21" customFormat="1" ht="18" customHeight="1" ns2:dyDescent="0.3">
      <c r="A206" s="20"/>
      <c r="B206" s="139"/>
      <c r="C206" s="135"/>
      <c r="D206" s="20"/>
      <c r="E206" s="20"/>
      <c r="F206" s="20"/>
      <c r="G206" s="20"/>
      <c r="H206" s="60"/>
      <c r="I206" s="60"/>
      <c r="J206" s="20"/>
      <c r="K206" s="60"/>
      <c r="L206" s="20"/>
      <c r="M206" s="20"/>
      <c r="N206" s="20"/>
      <c r="O206" s="20"/>
      <c r="P206" s="281"/>
      <c r="Q206" s="135"/>
      <c r="R206" s="20"/>
      <c r="S206" s="60"/>
      <c r="T206" s="20"/>
      <c r="U206" s="30"/>
      <c r="V206" s="20"/>
      <c r="W206" s="20"/>
      <c r="X206" s="20"/>
    </row>
    <row r="207" spans="1:24" s="21" customFormat="1" ht="18" customHeight="1" ns2:dyDescent="0.3">
      <c r="A207" s="20"/>
      <c r="B207" s="139"/>
      <c r="C207" s="135"/>
      <c r="D207" s="20"/>
      <c r="E207" s="20"/>
      <c r="F207" s="20"/>
      <c r="G207" s="20"/>
      <c r="H207" s="60"/>
      <c r="I207" s="60"/>
      <c r="J207" s="20"/>
      <c r="K207" s="60"/>
      <c r="L207" s="20"/>
      <c r="M207" s="20"/>
      <c r="N207" s="20"/>
      <c r="O207" s="20"/>
      <c r="P207" s="281"/>
      <c r="Q207" s="135"/>
      <c r="R207" s="20"/>
      <c r="S207" s="60"/>
      <c r="T207" s="20"/>
      <c r="U207" s="30"/>
      <c r="V207" s="20"/>
      <c r="W207" s="20"/>
      <c r="X207" s="20"/>
    </row>
    <row r="208" spans="1:24" s="21" customFormat="1" ht="18" customHeight="1" ns2:dyDescent="0.3">
      <c r="A208" s="20"/>
      <c r="B208" s="139"/>
      <c r="C208" s="135"/>
      <c r="D208" s="20"/>
      <c r="E208" s="20"/>
      <c r="F208" s="20"/>
      <c r="G208" s="20"/>
      <c r="H208" s="60"/>
      <c r="I208" s="60"/>
      <c r="J208" s="20"/>
      <c r="K208" s="60"/>
      <c r="L208" s="20"/>
      <c r="M208" s="20"/>
      <c r="N208" s="20"/>
      <c r="O208" s="20"/>
      <c r="P208" s="281"/>
      <c r="Q208" s="135"/>
      <c r="R208" s="20"/>
      <c r="S208" s="60"/>
      <c r="T208" s="20"/>
      <c r="U208" s="30"/>
      <c r="V208" s="20"/>
      <c r="W208" s="20"/>
      <c r="X208" s="20"/>
    </row>
    <row r="209" spans="1:24" s="21" customFormat="1" ht="18" customHeight="1" ns2:dyDescent="0.3">
      <c r="A209" s="20"/>
      <c r="B209" s="139"/>
      <c r="C209" s="135"/>
      <c r="D209" s="20"/>
      <c r="E209" s="20"/>
      <c r="F209" s="20"/>
      <c r="G209" s="20"/>
      <c r="H209" s="60"/>
      <c r="I209" s="60"/>
      <c r="J209" s="20"/>
      <c r="K209" s="60"/>
      <c r="L209" s="20"/>
      <c r="M209" s="20"/>
      <c r="N209" s="20"/>
      <c r="O209" s="20"/>
      <c r="P209" s="281"/>
      <c r="Q209" s="135"/>
      <c r="R209" s="20"/>
      <c r="S209" s="60"/>
      <c r="T209" s="20"/>
      <c r="U209" s="30"/>
      <c r="V209" s="20"/>
      <c r="W209" s="20"/>
      <c r="X209" s="20"/>
    </row>
    <row r="210" spans="1:24" s="21" customFormat="1" ht="18" customHeight="1" ns2:dyDescent="0.3">
      <c r="A210" s="20"/>
      <c r="B210" s="139"/>
      <c r="C210" s="135"/>
      <c r="D210" s="20"/>
      <c r="E210" s="20"/>
      <c r="F210" s="20"/>
      <c r="G210" s="20"/>
      <c r="H210" s="60"/>
      <c r="I210" s="60"/>
      <c r="J210" s="20"/>
      <c r="K210" s="60"/>
      <c r="L210" s="20"/>
      <c r="M210" s="20"/>
      <c r="N210" s="20"/>
      <c r="O210" s="20"/>
      <c r="P210" s="281"/>
      <c r="Q210" s="135"/>
      <c r="R210" s="20"/>
      <c r="S210" s="60"/>
      <c r="T210" s="20"/>
      <c r="U210" s="30"/>
      <c r="V210" s="20"/>
      <c r="W210" s="20"/>
      <c r="X210" s="20"/>
    </row>
    <row r="211" spans="1:24" s="21" customFormat="1" ht="18" customHeight="1" ns2:dyDescent="0.3">
      <c r="A211" s="20"/>
      <c r="B211" s="139"/>
      <c r="C211" s="135"/>
      <c r="D211" s="20"/>
      <c r="E211" s="20"/>
      <c r="F211" s="20"/>
      <c r="G211" s="20"/>
      <c r="H211" s="60"/>
      <c r="I211" s="60"/>
      <c r="J211" s="20"/>
      <c r="K211" s="60"/>
      <c r="L211" s="20"/>
      <c r="M211" s="20"/>
      <c r="N211" s="20"/>
      <c r="O211" s="20"/>
      <c r="P211" s="281"/>
      <c r="Q211" s="135"/>
      <c r="R211" s="20"/>
      <c r="S211" s="60"/>
      <c r="T211" s="20"/>
      <c r="U211" s="30"/>
      <c r="V211" s="20"/>
      <c r="W211" s="20"/>
      <c r="X211" s="20"/>
    </row>
    <row r="212" spans="1:24" s="21" customFormat="1" ht="18" customHeight="1" ns2:dyDescent="0.3">
      <c r="A212" s="20"/>
      <c r="B212" s="139"/>
      <c r="C212" s="135"/>
      <c r="D212" s="20"/>
      <c r="E212" s="20"/>
      <c r="F212" s="20"/>
      <c r="G212" s="20"/>
      <c r="H212" s="60"/>
      <c r="I212" s="60"/>
      <c r="J212" s="20"/>
      <c r="K212" s="60"/>
      <c r="L212" s="20"/>
      <c r="M212" s="20"/>
      <c r="N212" s="20"/>
      <c r="O212" s="20"/>
      <c r="P212" s="281"/>
      <c r="Q212" s="135"/>
      <c r="R212" s="20"/>
      <c r="S212" s="60"/>
      <c r="T212" s="20"/>
      <c r="U212" s="30"/>
      <c r="V212" s="20"/>
      <c r="W212" s="20"/>
      <c r="X212" s="20"/>
    </row>
    <row r="213" spans="1:24" s="21" customFormat="1" ht="18" customHeight="1" ns2:dyDescent="0.3">
      <c r="A213" s="20"/>
      <c r="B213" s="139"/>
      <c r="C213" s="135"/>
      <c r="D213" s="20"/>
      <c r="E213" s="20"/>
      <c r="F213" s="20"/>
      <c r="G213" s="20"/>
      <c r="H213" s="60"/>
      <c r="I213" s="60"/>
      <c r="J213" s="20"/>
      <c r="K213" s="60"/>
      <c r="L213" s="20"/>
      <c r="M213" s="20"/>
      <c r="N213" s="20"/>
      <c r="O213" s="20"/>
      <c r="P213" s="281"/>
      <c r="Q213" s="135"/>
      <c r="R213" s="20"/>
      <c r="S213" s="60"/>
      <c r="T213" s="20"/>
      <c r="U213" s="30"/>
      <c r="V213" s="20"/>
      <c r="W213" s="20"/>
      <c r="X213" s="20"/>
    </row>
    <row r="214" spans="1:24" s="21" customFormat="1" ht="18" customHeight="1" ns2:dyDescent="0.3">
      <c r="A214" s="20"/>
      <c r="B214" s="139"/>
      <c r="C214" s="135"/>
      <c r="D214" s="20"/>
      <c r="E214" s="20"/>
      <c r="F214" s="20"/>
      <c r="G214" s="20"/>
      <c r="H214" s="60"/>
      <c r="I214" s="60"/>
      <c r="J214" s="20"/>
      <c r="K214" s="60"/>
      <c r="L214" s="20"/>
      <c r="M214" s="20"/>
      <c r="N214" s="20"/>
      <c r="O214" s="20"/>
      <c r="P214" s="281"/>
      <c r="Q214" s="135"/>
      <c r="R214" s="20"/>
      <c r="S214" s="60"/>
      <c r="T214" s="20"/>
      <c r="U214" s="30"/>
      <c r="V214" s="20"/>
      <c r="W214" s="20"/>
      <c r="X214" s="20"/>
    </row>
    <row r="215" spans="1:24" s="21" customFormat="1" ht="18" customHeight="1" ns2:dyDescent="0.3">
      <c r="A215" s="20"/>
      <c r="B215" s="139"/>
      <c r="C215" s="135"/>
      <c r="D215" s="20"/>
      <c r="E215" s="20"/>
      <c r="F215" s="20"/>
      <c r="G215" s="20"/>
      <c r="H215" s="60"/>
      <c r="I215" s="60"/>
      <c r="J215" s="20"/>
      <c r="K215" s="60"/>
      <c r="L215" s="20"/>
      <c r="M215" s="20"/>
      <c r="N215" s="20"/>
      <c r="O215" s="20"/>
      <c r="P215" s="281"/>
      <c r="Q215" s="135"/>
      <c r="R215" s="20"/>
      <c r="S215" s="60"/>
      <c r="T215" s="20"/>
      <c r="U215" s="30"/>
      <c r="V215" s="20"/>
      <c r="W215" s="20"/>
      <c r="X215" s="20"/>
    </row>
    <row r="216" spans="1:24" s="21" customFormat="1" ht="18" customHeight="1" ns2:dyDescent="0.3">
      <c r="A216" s="20"/>
      <c r="B216" s="139"/>
      <c r="C216" s="135"/>
      <c r="D216" s="20"/>
      <c r="E216" s="20"/>
      <c r="F216" s="20"/>
      <c r="G216" s="20"/>
      <c r="H216" s="60"/>
      <c r="I216" s="60"/>
      <c r="J216" s="20"/>
      <c r="K216" s="60"/>
      <c r="L216" s="20"/>
      <c r="M216" s="20"/>
      <c r="N216" s="20"/>
      <c r="O216" s="20"/>
      <c r="P216" s="281"/>
      <c r="Q216" s="135"/>
      <c r="R216" s="20"/>
      <c r="S216" s="60"/>
      <c r="T216" s="20"/>
      <c r="U216" s="30"/>
      <c r="V216" s="20"/>
      <c r="W216" s="20"/>
      <c r="X216" s="20"/>
    </row>
    <row r="217" spans="1:24" s="21" customFormat="1" ht="18" customHeight="1" ns2:dyDescent="0.3">
      <c r="A217" s="20"/>
      <c r="B217" s="139"/>
      <c r="C217" s="135"/>
      <c r="D217" s="20"/>
      <c r="E217" s="20"/>
      <c r="F217" s="20"/>
      <c r="G217" s="20"/>
      <c r="H217" s="60"/>
      <c r="I217" s="60"/>
      <c r="J217" s="20"/>
      <c r="K217" s="60"/>
      <c r="L217" s="20"/>
      <c r="M217" s="20"/>
      <c r="N217" s="20"/>
      <c r="O217" s="20"/>
      <c r="P217" s="281"/>
      <c r="Q217" s="135"/>
      <c r="R217" s="20"/>
      <c r="S217" s="60"/>
      <c r="T217" s="20"/>
      <c r="U217" s="30"/>
      <c r="V217" s="20"/>
      <c r="W217" s="20"/>
      <c r="X217" s="20"/>
    </row>
    <row r="218" spans="1:24" s="21" customFormat="1" ht="18" customHeight="1" ns2:dyDescent="0.3">
      <c r="A218" s="20"/>
      <c r="B218" s="139"/>
      <c r="C218" s="135"/>
      <c r="D218" s="20"/>
      <c r="E218" s="20"/>
      <c r="F218" s="20"/>
      <c r="G218" s="20"/>
      <c r="H218" s="60"/>
      <c r="I218" s="60"/>
      <c r="J218" s="20"/>
      <c r="K218" s="60"/>
      <c r="L218" s="20"/>
      <c r="M218" s="20"/>
      <c r="N218" s="20"/>
      <c r="O218" s="20"/>
      <c r="P218" s="281"/>
      <c r="Q218" s="135"/>
      <c r="R218" s="20"/>
      <c r="S218" s="60"/>
      <c r="T218" s="20"/>
      <c r="U218" s="30"/>
      <c r="V218" s="20"/>
      <c r="W218" s="20"/>
      <c r="X218" s="20"/>
    </row>
    <row r="219" spans="1:24" s="21" customFormat="1" ht="18" customHeight="1" ns2:dyDescent="0.3">
      <c r="A219" s="20"/>
      <c r="B219" s="139"/>
      <c r="C219" s="135"/>
      <c r="D219" s="20"/>
      <c r="E219" s="20"/>
      <c r="F219" s="20"/>
      <c r="G219" s="20"/>
      <c r="H219" s="60"/>
      <c r="I219" s="60"/>
      <c r="J219" s="20"/>
      <c r="K219" s="60"/>
      <c r="L219" s="20"/>
      <c r="M219" s="20"/>
      <c r="N219" s="20"/>
      <c r="O219" s="20"/>
      <c r="P219" s="281"/>
      <c r="Q219" s="135"/>
      <c r="R219" s="20"/>
      <c r="S219" s="60"/>
      <c r="T219" s="20"/>
      <c r="U219" s="30"/>
      <c r="V219" s="20"/>
      <c r="W219" s="20"/>
      <c r="X219" s="20"/>
    </row>
    <row r="220" spans="1:24" s="21" customFormat="1" ht="18" customHeight="1" ns2:dyDescent="0.3">
      <c r="A220" s="20"/>
      <c r="B220" s="139"/>
      <c r="C220" s="135"/>
      <c r="D220" s="20"/>
      <c r="E220" s="20"/>
      <c r="F220" s="20"/>
      <c r="G220" s="20"/>
      <c r="H220" s="60"/>
      <c r="I220" s="60"/>
      <c r="J220" s="20"/>
      <c r="K220" s="60"/>
      <c r="L220" s="20"/>
      <c r="M220" s="20"/>
      <c r="N220" s="20"/>
      <c r="O220" s="20"/>
      <c r="P220" s="281"/>
      <c r="Q220" s="135"/>
      <c r="R220" s="20"/>
      <c r="S220" s="60"/>
      <c r="T220" s="20"/>
      <c r="U220" s="30"/>
      <c r="V220" s="20"/>
      <c r="W220" s="20"/>
      <c r="X220" s="20"/>
    </row>
    <row r="221" spans="1:24" s="21" customFormat="1" ht="18" customHeight="1" ns2:dyDescent="0.3">
      <c r="A221" s="20"/>
      <c r="B221" s="139"/>
      <c r="C221" s="135"/>
      <c r="D221" s="20"/>
      <c r="E221" s="20"/>
      <c r="F221" s="20"/>
      <c r="G221" s="20"/>
      <c r="H221" s="60"/>
      <c r="I221" s="60"/>
      <c r="J221" s="20"/>
      <c r="K221" s="60"/>
      <c r="L221" s="20"/>
      <c r="M221" s="20"/>
      <c r="N221" s="20"/>
      <c r="O221" s="20"/>
      <c r="P221" s="281"/>
      <c r="Q221" s="135"/>
      <c r="R221" s="20"/>
      <c r="S221" s="60"/>
      <c r="T221" s="20"/>
      <c r="U221" s="30"/>
      <c r="V221" s="20"/>
      <c r="W221" s="20"/>
      <c r="X221" s="20"/>
    </row>
    <row r="222" spans="1:24" s="21" customFormat="1" ht="18" customHeight="1" ns2:dyDescent="0.3">
      <c r="A222" s="20"/>
      <c r="B222" s="139"/>
      <c r="C222" s="135"/>
      <c r="D222" s="20"/>
      <c r="E222" s="20"/>
      <c r="F222" s="20"/>
      <c r="G222" s="20"/>
      <c r="H222" s="60"/>
      <c r="I222" s="60"/>
      <c r="J222" s="20"/>
      <c r="K222" s="60"/>
      <c r="L222" s="20"/>
      <c r="M222" s="20"/>
      <c r="N222" s="20"/>
      <c r="O222" s="20"/>
      <c r="P222" s="281"/>
      <c r="Q222" s="135"/>
      <c r="R222" s="20"/>
      <c r="S222" s="60"/>
      <c r="T222" s="20"/>
      <c r="U222" s="30"/>
      <c r="V222" s="20"/>
      <c r="W222" s="20"/>
      <c r="X222" s="20"/>
    </row>
    <row r="223" spans="1:24" s="21" customFormat="1" ht="18" customHeight="1" ns2:dyDescent="0.3">
      <c r="A223" s="20"/>
      <c r="B223" s="139"/>
      <c r="C223" s="135"/>
      <c r="D223" s="20"/>
      <c r="E223" s="20"/>
      <c r="F223" s="20"/>
      <c r="G223" s="20"/>
      <c r="H223" s="60"/>
      <c r="I223" s="60"/>
      <c r="J223" s="20"/>
      <c r="K223" s="60"/>
      <c r="L223" s="20"/>
      <c r="M223" s="20"/>
      <c r="N223" s="20"/>
      <c r="O223" s="20"/>
      <c r="P223" s="281"/>
      <c r="Q223" s="135"/>
      <c r="R223" s="20"/>
      <c r="S223" s="60"/>
      <c r="T223" s="20"/>
      <c r="U223" s="30"/>
      <c r="V223" s="20"/>
      <c r="W223" s="20"/>
      <c r="X223" s="20"/>
    </row>
    <row r="224" spans="1:24" s="21" customFormat="1" ht="18" customHeight="1" ns2:dyDescent="0.3">
      <c r="A224" s="20"/>
      <c r="B224" s="139"/>
      <c r="C224" s="135"/>
      <c r="D224" s="20"/>
      <c r="E224" s="20"/>
      <c r="F224" s="20"/>
      <c r="G224" s="20"/>
      <c r="H224" s="60"/>
      <c r="I224" s="60"/>
      <c r="J224" s="20"/>
      <c r="K224" s="60"/>
      <c r="L224" s="20"/>
      <c r="M224" s="20"/>
      <c r="N224" s="20"/>
      <c r="O224" s="20"/>
      <c r="P224" s="281"/>
      <c r="Q224" s="135"/>
      <c r="R224" s="20"/>
      <c r="S224" s="60"/>
      <c r="T224" s="20"/>
      <c r="U224" s="30"/>
      <c r="V224" s="20"/>
      <c r="W224" s="20"/>
      <c r="X224" s="20"/>
    </row>
    <row r="225" spans="1:24" s="21" customFormat="1" ht="18" customHeight="1" ns2:dyDescent="0.3">
      <c r="A225" s="20"/>
      <c r="B225" s="139"/>
      <c r="C225" s="135"/>
      <c r="D225" s="20"/>
      <c r="E225" s="20"/>
      <c r="F225" s="20"/>
      <c r="G225" s="20"/>
      <c r="H225" s="60"/>
      <c r="I225" s="60"/>
      <c r="J225" s="20"/>
      <c r="K225" s="60"/>
      <c r="L225" s="20"/>
      <c r="M225" s="20"/>
      <c r="N225" s="20"/>
      <c r="O225" s="20"/>
      <c r="P225" s="281"/>
      <c r="Q225" s="135"/>
      <c r="R225" s="20"/>
      <c r="S225" s="60"/>
      <c r="T225" s="20"/>
      <c r="U225" s="30"/>
      <c r="V225" s="20"/>
      <c r="W225" s="20"/>
      <c r="X225" s="20"/>
    </row>
    <row r="226" spans="1:24" s="21" customFormat="1" ht="18" customHeight="1" ns2:dyDescent="0.3">
      <c r="A226" s="20"/>
      <c r="B226" s="139"/>
      <c r="C226" s="135"/>
      <c r="D226" s="20"/>
      <c r="E226" s="20"/>
      <c r="F226" s="20"/>
      <c r="G226" s="20"/>
      <c r="H226" s="60"/>
      <c r="I226" s="60"/>
      <c r="J226" s="20"/>
      <c r="K226" s="60"/>
      <c r="L226" s="20"/>
      <c r="M226" s="20"/>
      <c r="N226" s="20"/>
      <c r="O226" s="20"/>
      <c r="P226" s="281"/>
      <c r="Q226" s="135"/>
      <c r="R226" s="20"/>
      <c r="S226" s="60"/>
      <c r="T226" s="20"/>
      <c r="U226" s="30"/>
      <c r="V226" s="20"/>
      <c r="W226" s="20"/>
      <c r="X226" s="20"/>
    </row>
    <row r="227" spans="1:24" s="21" customFormat="1" ht="18" customHeight="1" ns2:dyDescent="0.3">
      <c r="A227" s="20"/>
      <c r="B227" s="139"/>
      <c r="C227" s="135"/>
      <c r="D227" s="20"/>
      <c r="E227" s="20"/>
      <c r="F227" s="20"/>
      <c r="G227" s="20"/>
      <c r="H227" s="60"/>
      <c r="I227" s="60"/>
      <c r="J227" s="20"/>
      <c r="K227" s="60"/>
      <c r="L227" s="20"/>
      <c r="M227" s="20"/>
      <c r="N227" s="20"/>
      <c r="O227" s="20"/>
      <c r="P227" s="281"/>
      <c r="Q227" s="135"/>
      <c r="R227" s="20"/>
      <c r="S227" s="60"/>
      <c r="T227" s="20"/>
      <c r="U227" s="30"/>
      <c r="V227" s="20"/>
      <c r="W227" s="20"/>
      <c r="X227" s="20"/>
    </row>
    <row r="228" spans="1:24" s="21" customFormat="1" ht="18" customHeight="1" ns2:dyDescent="0.3">
      <c r="A228" s="20"/>
      <c r="B228" s="139"/>
      <c r="C228" s="135"/>
      <c r="D228" s="20"/>
      <c r="E228" s="20"/>
      <c r="F228" s="20"/>
      <c r="G228" s="20"/>
      <c r="H228" s="60"/>
      <c r="I228" s="60"/>
      <c r="J228" s="20"/>
      <c r="K228" s="60"/>
      <c r="L228" s="20"/>
      <c r="M228" s="20"/>
      <c r="N228" s="20"/>
      <c r="O228" s="20"/>
      <c r="P228" s="281"/>
      <c r="Q228" s="135"/>
      <c r="R228" s="20"/>
      <c r="S228" s="60"/>
      <c r="T228" s="20"/>
      <c r="U228" s="30"/>
      <c r="V228" s="20"/>
      <c r="W228" s="20"/>
      <c r="X228" s="20"/>
    </row>
    <row r="229" spans="1:24" s="21" customFormat="1" ht="18" customHeight="1" ns2:dyDescent="0.3">
      <c r="A229" s="20"/>
      <c r="B229" s="139"/>
      <c r="C229" s="135"/>
      <c r="D229" s="20"/>
      <c r="E229" s="20"/>
      <c r="F229" s="20"/>
      <c r="G229" s="20"/>
      <c r="H229" s="60"/>
      <c r="I229" s="60"/>
      <c r="J229" s="20"/>
      <c r="K229" s="60"/>
      <c r="L229" s="20"/>
      <c r="M229" s="20"/>
      <c r="N229" s="20"/>
      <c r="O229" s="20"/>
      <c r="P229" s="281"/>
      <c r="Q229" s="135"/>
      <c r="R229" s="20"/>
      <c r="S229" s="60"/>
      <c r="T229" s="20"/>
      <c r="U229" s="30"/>
      <c r="V229" s="20"/>
      <c r="W229" s="20"/>
      <c r="X229" s="20"/>
    </row>
    <row r="230" spans="1:24" s="21" customFormat="1" ht="18" customHeight="1" ns2:dyDescent="0.3">
      <c r="A230" s="20"/>
      <c r="B230" s="139"/>
      <c r="C230" s="135"/>
      <c r="D230" s="20"/>
      <c r="E230" s="20"/>
      <c r="F230" s="20"/>
      <c r="G230" s="20"/>
      <c r="H230" s="60"/>
      <c r="I230" s="60"/>
      <c r="J230" s="20"/>
      <c r="K230" s="60"/>
      <c r="L230" s="20"/>
      <c r="M230" s="20"/>
      <c r="N230" s="20"/>
      <c r="O230" s="20"/>
      <c r="P230" s="281"/>
      <c r="Q230" s="135"/>
      <c r="R230" s="20"/>
      <c r="S230" s="60"/>
      <c r="T230" s="20"/>
      <c r="U230" s="30"/>
      <c r="V230" s="20"/>
      <c r="W230" s="20"/>
      <c r="X230" s="20"/>
    </row>
    <row r="231" spans="1:24" s="21" customFormat="1" ht="18" customHeight="1" ns2:dyDescent="0.3">
      <c r="A231" s="20"/>
      <c r="B231" s="139"/>
      <c r="C231" s="135"/>
      <c r="D231" s="20"/>
      <c r="E231" s="20"/>
      <c r="F231" s="20"/>
      <c r="G231" s="20"/>
      <c r="H231" s="60"/>
      <c r="I231" s="60"/>
      <c r="J231" s="20"/>
      <c r="K231" s="60"/>
      <c r="L231" s="20"/>
      <c r="M231" s="20"/>
      <c r="N231" s="20"/>
      <c r="O231" s="20"/>
      <c r="P231" s="281"/>
      <c r="Q231" s="135"/>
      <c r="R231" s="20"/>
      <c r="S231" s="60"/>
      <c r="T231" s="20"/>
      <c r="U231" s="30"/>
      <c r="V231" s="20"/>
      <c r="W231" s="20"/>
      <c r="X231" s="20"/>
    </row>
    <row r="232" spans="1:24" s="21" customFormat="1" ht="18" customHeight="1" ns2:dyDescent="0.3">
      <c r="A232" s="20"/>
      <c r="B232" s="139"/>
      <c r="C232" s="135"/>
      <c r="D232" s="20"/>
      <c r="E232" s="20"/>
      <c r="F232" s="20"/>
      <c r="G232" s="20"/>
      <c r="H232" s="60"/>
      <c r="I232" s="60"/>
      <c r="J232" s="20"/>
      <c r="K232" s="60"/>
      <c r="L232" s="20"/>
      <c r="M232" s="20"/>
      <c r="N232" s="20"/>
      <c r="O232" s="20"/>
      <c r="P232" s="281"/>
      <c r="Q232" s="135"/>
      <c r="R232" s="20"/>
      <c r="S232" s="60"/>
      <c r="T232" s="20"/>
      <c r="U232" s="30"/>
      <c r="V232" s="20"/>
      <c r="W232" s="20"/>
      <c r="X232" s="20"/>
    </row>
    <row r="233" spans="1:24" s="21" customFormat="1" ht="18" customHeight="1" ns2:dyDescent="0.3">
      <c r="A233" s="20"/>
      <c r="B233" s="139"/>
      <c r="C233" s="135"/>
      <c r="D233" s="20"/>
      <c r="E233" s="20"/>
      <c r="F233" s="20"/>
      <c r="G233" s="20"/>
      <c r="H233" s="60"/>
      <c r="I233" s="20"/>
      <c r="J233" s="20"/>
      <c r="K233" s="60"/>
      <c r="L233" s="20"/>
      <c r="M233" s="20"/>
      <c r="N233" s="20"/>
      <c r="O233" s="20"/>
      <c r="P233" s="281"/>
      <c r="Q233" s="135"/>
      <c r="R233" s="20"/>
      <c r="S233" s="60"/>
      <c r="T233" s="20"/>
      <c r="U233" s="30"/>
      <c r="V233" s="20"/>
      <c r="W233" s="20"/>
      <c r="X233" s="20"/>
    </row>
    <row r="234" spans="1:24" s="21" customFormat="1" ht="18" customHeight="1" ns2:dyDescent="0.3">
      <c r="A234" s="20"/>
      <c r="B234" s="139"/>
      <c r="C234" s="135"/>
      <c r="D234" s="20"/>
      <c r="E234" s="20"/>
      <c r="F234" s="20"/>
      <c r="G234" s="20"/>
      <c r="H234" s="60"/>
      <c r="I234" s="20"/>
      <c r="J234" s="20"/>
      <c r="K234" s="60"/>
      <c r="L234" s="20"/>
      <c r="M234" s="20"/>
      <c r="N234" s="20"/>
      <c r="O234" s="20"/>
      <c r="P234" s="281"/>
      <c r="Q234" s="135"/>
      <c r="R234" s="20"/>
      <c r="S234" s="60"/>
      <c r="T234" s="20"/>
      <c r="U234" s="30"/>
      <c r="V234" s="20"/>
      <c r="W234" s="20"/>
      <c r="X234" s="20"/>
    </row>
    <row r="235" spans="1:24" s="21" customFormat="1" ht="18" customHeight="1" ns2:dyDescent="0.3">
      <c r="A235" s="20"/>
      <c r="B235" s="139"/>
      <c r="C235" s="135"/>
      <c r="D235" s="20"/>
      <c r="E235" s="20"/>
      <c r="F235" s="20"/>
      <c r="G235" s="20"/>
      <c r="H235" s="60"/>
      <c r="I235" s="20"/>
      <c r="J235" s="20"/>
      <c r="K235" s="60"/>
      <c r="L235" s="20"/>
      <c r="M235" s="20"/>
      <c r="N235" s="20"/>
      <c r="O235" s="20"/>
      <c r="P235" s="281"/>
      <c r="Q235" s="135"/>
      <c r="R235" s="20"/>
      <c r="S235" s="60"/>
      <c r="T235" s="20"/>
      <c r="U235" s="30"/>
      <c r="V235" s="20"/>
      <c r="W235" s="20"/>
      <c r="X235" s="20"/>
    </row>
    <row r="236" spans="1:24" s="21" customFormat="1" ht="18" customHeight="1" ns2:dyDescent="0.3">
      <c r="A236" s="20"/>
      <c r="B236" s="139"/>
      <c r="C236" s="135"/>
      <c r="D236" s="20"/>
      <c r="E236" s="20"/>
      <c r="F236" s="20"/>
      <c r="G236" s="20"/>
      <c r="H236" s="60"/>
      <c r="I236" s="20"/>
      <c r="J236" s="20"/>
      <c r="K236" s="60"/>
      <c r="L236" s="20"/>
      <c r="M236" s="20"/>
      <c r="N236" s="20"/>
      <c r="O236" s="20"/>
      <c r="P236" s="281"/>
      <c r="Q236" s="135"/>
      <c r="R236" s="20"/>
      <c r="S236" s="60"/>
      <c r="T236" s="20"/>
      <c r="U236" s="30"/>
      <c r="V236" s="20"/>
      <c r="W236" s="20"/>
      <c r="X236" s="20"/>
    </row>
    <row r="237" spans="1:24" s="21" customFormat="1" ht="18" customHeight="1" ns2:dyDescent="0.3">
      <c r="A237" s="20"/>
      <c r="B237" s="139"/>
      <c r="C237" s="135"/>
      <c r="D237" s="20"/>
      <c r="E237" s="20"/>
      <c r="F237" s="20"/>
      <c r="G237" s="20"/>
      <c r="H237" s="60"/>
      <c r="I237" s="20"/>
      <c r="J237" s="20"/>
      <c r="K237" s="60"/>
      <c r="L237" s="20"/>
      <c r="M237" s="20"/>
      <c r="N237" s="20"/>
      <c r="O237" s="20"/>
      <c r="P237" s="281"/>
      <c r="Q237" s="135"/>
      <c r="R237" s="20"/>
      <c r="S237" s="60"/>
      <c r="T237" s="20"/>
      <c r="U237" s="30"/>
      <c r="V237" s="20"/>
      <c r="W237" s="20"/>
      <c r="X237" s="20"/>
    </row>
    <row r="238" spans="1:24" s="21" customFormat="1" ht="18" customHeight="1" ns2:dyDescent="0.3">
      <c r="A238" s="20"/>
      <c r="B238" s="139"/>
      <c r="C238" s="135"/>
      <c r="D238" s="20"/>
      <c r="E238" s="20"/>
      <c r="F238" s="20"/>
      <c r="G238" s="20"/>
      <c r="H238" s="60"/>
      <c r="I238" s="20"/>
      <c r="J238" s="20"/>
      <c r="K238" s="60"/>
      <c r="L238" s="20"/>
      <c r="M238" s="20"/>
      <c r="N238" s="20"/>
      <c r="O238" s="20"/>
      <c r="P238" s="281"/>
      <c r="Q238" s="135"/>
      <c r="R238" s="20"/>
      <c r="S238" s="60"/>
      <c r="T238" s="20"/>
      <c r="U238" s="30"/>
      <c r="V238" s="20"/>
      <c r="W238" s="20"/>
      <c r="X238" s="20"/>
    </row>
    <row r="239" spans="1:24" s="21" customFormat="1" ht="18" customHeight="1" ns2:dyDescent="0.3">
      <c r="A239" s="20"/>
      <c r="B239" s="139"/>
      <c r="C239" s="135"/>
      <c r="D239" s="20"/>
      <c r="E239" s="20"/>
      <c r="F239" s="20"/>
      <c r="G239" s="20"/>
      <c r="H239" s="60"/>
      <c r="I239" s="20"/>
      <c r="J239" s="20"/>
      <c r="K239" s="60"/>
      <c r="L239" s="20"/>
      <c r="M239" s="20"/>
      <c r="N239" s="20"/>
      <c r="O239" s="20"/>
      <c r="P239" s="281"/>
      <c r="Q239" s="135"/>
      <c r="R239" s="20"/>
      <c r="S239" s="60"/>
      <c r="T239" s="20"/>
      <c r="U239" s="30"/>
      <c r="V239" s="20"/>
      <c r="W239" s="20"/>
      <c r="X239" s="20"/>
    </row>
    <row r="240" spans="1:24" s="21" customFormat="1" ht="18" customHeight="1" ns2:dyDescent="0.3">
      <c r="A240" s="20"/>
      <c r="B240" s="139"/>
      <c r="C240" s="135"/>
      <c r="D240" s="20"/>
      <c r="E240" s="20"/>
      <c r="F240" s="20"/>
      <c r="G240" s="20"/>
      <c r="H240" s="60"/>
      <c r="I240" s="20"/>
      <c r="J240" s="20"/>
      <c r="K240" s="60"/>
      <c r="L240" s="20"/>
      <c r="M240" s="20"/>
      <c r="N240" s="20"/>
      <c r="O240" s="20"/>
      <c r="P240" s="281"/>
      <c r="Q240" s="135"/>
      <c r="R240" s="20"/>
      <c r="S240" s="60"/>
      <c r="T240" s="20"/>
      <c r="U240" s="30"/>
      <c r="V240" s="20"/>
      <c r="W240" s="20"/>
      <c r="X240" s="20"/>
    </row>
    <row r="241" spans="1:24" s="21" customFormat="1" ht="18" customHeight="1" ns2:dyDescent="0.3">
      <c r="A241" s="20"/>
      <c r="B241" s="139"/>
      <c r="C241" s="135"/>
      <c r="D241" s="20"/>
      <c r="E241" s="20"/>
      <c r="F241" s="20"/>
      <c r="G241" s="20"/>
      <c r="H241" s="60"/>
      <c r="I241" s="20"/>
      <c r="J241" s="20"/>
      <c r="K241" s="60"/>
      <c r="L241" s="20"/>
      <c r="M241" s="20"/>
      <c r="N241" s="20"/>
      <c r="O241" s="20"/>
      <c r="P241" s="281"/>
      <c r="Q241" s="135"/>
      <c r="R241" s="20"/>
      <c r="S241" s="60"/>
      <c r="T241" s="20"/>
      <c r="U241" s="30"/>
      <c r="V241" s="20"/>
      <c r="W241" s="20"/>
      <c r="X241" s="20"/>
    </row>
    <row r="242" spans="1:24" s="21" customFormat="1" ht="18" customHeight="1" ns2:dyDescent="0.3">
      <c r="A242" s="20"/>
      <c r="B242" s="139"/>
      <c r="C242" s="135"/>
      <c r="D242" s="20"/>
      <c r="E242" s="20"/>
      <c r="F242" s="20"/>
      <c r="G242" s="20"/>
      <c r="H242" s="60"/>
      <c r="I242" s="20"/>
      <c r="J242" s="20"/>
      <c r="K242" s="60"/>
      <c r="L242" s="20"/>
      <c r="M242" s="20"/>
      <c r="N242" s="20"/>
      <c r="O242" s="20"/>
      <c r="P242" s="281"/>
      <c r="Q242" s="135"/>
      <c r="R242" s="20"/>
      <c r="S242" s="60"/>
      <c r="T242" s="20"/>
      <c r="U242" s="30"/>
      <c r="V242" s="20"/>
      <c r="W242" s="20"/>
      <c r="X242" s="20"/>
    </row>
    <row r="243" spans="1:24" s="21" customFormat="1" ht="18" customHeight="1" ns2:dyDescent="0.3">
      <c r="A243" s="20"/>
      <c r="B243" s="139"/>
      <c r="C243" s="135"/>
      <c r="D243" s="20"/>
      <c r="E243" s="20"/>
      <c r="F243" s="20"/>
      <c r="G243" s="20"/>
      <c r="H243" s="60"/>
      <c r="I243" s="20"/>
      <c r="J243" s="20"/>
      <c r="K243" s="60"/>
      <c r="L243" s="20"/>
      <c r="M243" s="20"/>
      <c r="N243" s="20"/>
      <c r="O243" s="20"/>
      <c r="P243" s="281"/>
      <c r="Q243" s="135"/>
      <c r="R243" s="20"/>
      <c r="S243" s="60"/>
      <c r="T243" s="20"/>
      <c r="U243" s="30"/>
      <c r="V243" s="20"/>
      <c r="W243" s="20"/>
      <c r="X243" s="20"/>
    </row>
    <row r="244" spans="1:24" s="21" customFormat="1" ht="18" customHeight="1" ns2:dyDescent="0.3">
      <c r="A244" s="20"/>
      <c r="B244" s="139"/>
      <c r="C244" s="135"/>
      <c r="D244" s="20"/>
      <c r="E244" s="20"/>
      <c r="F244" s="20"/>
      <c r="G244" s="20"/>
      <c r="H244" s="60"/>
      <c r="I244" s="20"/>
      <c r="J244" s="20"/>
      <c r="K244" s="60"/>
      <c r="L244" s="20"/>
      <c r="M244" s="20"/>
      <c r="N244" s="20"/>
      <c r="O244" s="20"/>
      <c r="P244" s="281"/>
      <c r="Q244" s="135"/>
      <c r="R244" s="20"/>
      <c r="S244" s="60"/>
      <c r="T244" s="20"/>
      <c r="U244" s="30"/>
      <c r="V244" s="20"/>
      <c r="W244" s="20"/>
      <c r="X244" s="20"/>
    </row>
    <row r="245" spans="1:24" s="21" customFormat="1" ht="18" customHeight="1" ns2:dyDescent="0.3">
      <c r="A245" s="20"/>
      <c r="B245" s="139"/>
      <c r="C245" s="135"/>
      <c r="D245" s="20"/>
      <c r="E245" s="20"/>
      <c r="F245" s="20"/>
      <c r="G245" s="20"/>
      <c r="H245" s="60"/>
      <c r="I245" s="20"/>
      <c r="J245" s="20"/>
      <c r="K245" s="60"/>
      <c r="L245" s="20"/>
      <c r="M245" s="20"/>
      <c r="N245" s="20"/>
      <c r="O245" s="20"/>
      <c r="P245" s="281"/>
      <c r="Q245" s="135"/>
      <c r="R245" s="20"/>
      <c r="S245" s="60"/>
      <c r="T245" s="20"/>
      <c r="U245" s="30"/>
      <c r="V245" s="20"/>
      <c r="W245" s="20"/>
      <c r="X245" s="20"/>
    </row>
    <row r="246" spans="1:24" s="21" customFormat="1" ht="18" customHeight="1" ns2:dyDescent="0.3">
      <c r="A246" s="20"/>
      <c r="B246" s="139"/>
      <c r="C246" s="135"/>
      <c r="D246" s="20"/>
      <c r="E246" s="20"/>
      <c r="F246" s="20"/>
      <c r="G246" s="20"/>
      <c r="H246" s="60"/>
      <c r="I246" s="20"/>
      <c r="J246" s="20"/>
      <c r="K246" s="60"/>
      <c r="L246" s="20"/>
      <c r="M246" s="20"/>
      <c r="N246" s="20"/>
      <c r="O246" s="20"/>
      <c r="P246" s="281"/>
      <c r="Q246" s="135"/>
      <c r="R246" s="20"/>
      <c r="S246" s="60"/>
      <c r="T246" s="20"/>
      <c r="U246" s="30"/>
      <c r="V246" s="20"/>
      <c r="W246" s="20"/>
      <c r="X246" s="20"/>
    </row>
    <row r="247" spans="1:24" s="21" customFormat="1" ht="18" customHeight="1" ns2:dyDescent="0.3">
      <c r="A247" s="20"/>
      <c r="B247" s="139"/>
      <c r="C247" s="135"/>
      <c r="D247" s="20"/>
      <c r="E247" s="20"/>
      <c r="F247" s="20"/>
      <c r="G247" s="20"/>
      <c r="H247" s="60"/>
      <c r="I247" s="20"/>
      <c r="J247" s="20"/>
      <c r="K247" s="60"/>
      <c r="L247" s="20"/>
      <c r="M247" s="20"/>
      <c r="N247" s="20"/>
      <c r="O247" s="20"/>
      <c r="P247" s="281"/>
      <c r="Q247" s="135"/>
      <c r="R247" s="20"/>
      <c r="S247" s="60"/>
      <c r="T247" s="20"/>
      <c r="U247" s="30"/>
      <c r="V247" s="20"/>
      <c r="W247" s="20"/>
      <c r="X247" s="20"/>
    </row>
    <row r="248" spans="1:24" s="21" customFormat="1" ht="18" customHeight="1" ns2:dyDescent="0.3">
      <c r="A248" s="20"/>
      <c r="B248" s="139"/>
      <c r="C248" s="135"/>
      <c r="D248" s="20"/>
      <c r="E248" s="20"/>
      <c r="F248" s="20"/>
      <c r="G248" s="20"/>
      <c r="H248" s="60"/>
      <c r="I248" s="20"/>
      <c r="J248" s="20"/>
      <c r="K248" s="60"/>
      <c r="L248" s="20"/>
      <c r="M248" s="20"/>
      <c r="N248" s="20"/>
      <c r="O248" s="20"/>
      <c r="P248" s="281"/>
      <c r="Q248" s="135"/>
      <c r="R248" s="20"/>
      <c r="S248" s="60"/>
      <c r="T248" s="20"/>
      <c r="U248" s="30"/>
      <c r="V248" s="20"/>
      <c r="W248" s="20"/>
      <c r="X248" s="20"/>
    </row>
    <row r="249" spans="1:24" s="21" customFormat="1" ht="18" customHeight="1" ns2:dyDescent="0.3">
      <c r="A249" s="20"/>
      <c r="B249" s="139"/>
      <c r="C249" s="135"/>
      <c r="D249" s="20"/>
      <c r="E249" s="20"/>
      <c r="F249" s="20"/>
      <c r="G249" s="20"/>
      <c r="H249" s="60"/>
      <c r="I249" s="20"/>
      <c r="J249" s="20"/>
      <c r="K249" s="60"/>
      <c r="L249" s="20"/>
      <c r="M249" s="20"/>
      <c r="N249" s="20"/>
      <c r="O249" s="20"/>
      <c r="P249" s="281"/>
      <c r="Q249" s="135"/>
      <c r="R249" s="20"/>
      <c r="S249" s="60"/>
      <c r="T249" s="20"/>
      <c r="U249" s="30"/>
      <c r="V249" s="20"/>
      <c r="W249" s="20"/>
      <c r="X249" s="20"/>
    </row>
    <row r="250" spans="1:24" s="21" customFormat="1" ht="18" customHeight="1" ns2:dyDescent="0.3">
      <c r="A250" s="20"/>
      <c r="B250" s="139"/>
      <c r="C250" s="135"/>
      <c r="D250" s="20"/>
      <c r="E250" s="20"/>
      <c r="F250" s="20"/>
      <c r="G250" s="20"/>
      <c r="H250" s="60"/>
      <c r="I250" s="20"/>
      <c r="J250" s="20"/>
      <c r="K250" s="60"/>
      <c r="L250" s="20"/>
      <c r="M250" s="20"/>
      <c r="N250" s="20"/>
      <c r="O250" s="20"/>
      <c r="P250" s="281"/>
      <c r="Q250" s="135"/>
      <c r="R250" s="20"/>
      <c r="S250" s="60"/>
      <c r="T250" s="20"/>
      <c r="U250" s="30"/>
      <c r="V250" s="20"/>
      <c r="W250" s="20"/>
      <c r="X250" s="20"/>
    </row>
    <row r="251" spans="1:24" s="21" customFormat="1" ht="18" customHeight="1" ns2:dyDescent="0.3">
      <c r="A251" s="20"/>
      <c r="B251" s="139"/>
      <c r="C251" s="135"/>
      <c r="D251" s="20"/>
      <c r="E251" s="20"/>
      <c r="F251" s="20"/>
      <c r="G251" s="20"/>
      <c r="H251" s="60"/>
      <c r="I251" s="20"/>
      <c r="J251" s="20"/>
      <c r="K251" s="60"/>
      <c r="L251" s="20"/>
      <c r="M251" s="20"/>
      <c r="N251" s="20"/>
      <c r="O251" s="20"/>
      <c r="P251" s="281"/>
      <c r="Q251" s="135"/>
      <c r="R251" s="20"/>
      <c r="S251" s="60"/>
      <c r="T251" s="20"/>
      <c r="U251" s="30"/>
      <c r="V251" s="20"/>
      <c r="W251" s="20"/>
      <c r="X251" s="20"/>
    </row>
    <row r="252" spans="1:24" s="21" customFormat="1" ht="18" customHeight="1" ns2:dyDescent="0.3">
      <c r="A252" s="20"/>
      <c r="B252" s="139"/>
      <c r="C252" s="135"/>
      <c r="D252" s="20"/>
      <c r="E252" s="20"/>
      <c r="F252" s="20"/>
      <c r="G252" s="20"/>
      <c r="H252" s="60"/>
      <c r="I252" s="20"/>
      <c r="J252" s="20"/>
      <c r="K252" s="60"/>
      <c r="L252" s="20"/>
      <c r="M252" s="20"/>
      <c r="N252" s="20"/>
      <c r="O252" s="20"/>
      <c r="P252" s="281"/>
      <c r="Q252" s="135"/>
      <c r="R252" s="20"/>
      <c r="S252" s="60"/>
      <c r="T252" s="20"/>
      <c r="U252" s="30"/>
      <c r="V252" s="20"/>
      <c r="W252" s="20"/>
      <c r="X252" s="20"/>
    </row>
    <row r="253" spans="1:24" s="21" customFormat="1" ht="18" customHeight="1" ns2:dyDescent="0.3">
      <c r="A253" s="20"/>
      <c r="B253" s="139"/>
      <c r="C253" s="135"/>
      <c r="D253" s="20"/>
      <c r="E253" s="20"/>
      <c r="F253" s="20"/>
      <c r="G253" s="20"/>
      <c r="H253" s="60"/>
      <c r="I253" s="20"/>
      <c r="J253" s="20"/>
      <c r="K253" s="60"/>
      <c r="L253" s="20"/>
      <c r="M253" s="20"/>
      <c r="N253" s="20"/>
      <c r="O253" s="20"/>
      <c r="P253" s="281"/>
      <c r="Q253" s="135"/>
      <c r="R253" s="20"/>
      <c r="S253" s="60"/>
      <c r="T253" s="20"/>
      <c r="U253" s="30"/>
      <c r="V253" s="20"/>
      <c r="W253" s="20"/>
      <c r="X253" s="20"/>
    </row>
    <row r="254" spans="1:24" s="21" customFormat="1" ht="18" customHeight="1" ns2:dyDescent="0.3">
      <c r="A254" s="20"/>
      <c r="B254" s="139"/>
      <c r="C254" s="135"/>
      <c r="D254" s="20"/>
      <c r="E254" s="20"/>
      <c r="F254" s="20"/>
      <c r="G254" s="20"/>
      <c r="H254" s="60"/>
      <c r="I254" s="20"/>
      <c r="J254" s="20"/>
      <c r="K254" s="60"/>
      <c r="L254" s="20"/>
      <c r="M254" s="20"/>
      <c r="N254" s="20"/>
      <c r="O254" s="20"/>
      <c r="P254" s="281"/>
      <c r="Q254" s="135"/>
      <c r="R254" s="20"/>
      <c r="S254" s="60"/>
      <c r="T254" s="20"/>
      <c r="U254" s="30"/>
      <c r="V254" s="20"/>
      <c r="W254" s="20"/>
      <c r="X254" s="20"/>
    </row>
    <row r="255" spans="1:24" s="21" customFormat="1" ht="18" customHeight="1" ns2:dyDescent="0.3">
      <c r="A255" s="20"/>
      <c r="B255" s="139"/>
      <c r="C255" s="135"/>
      <c r="D255" s="20"/>
      <c r="E255" s="20"/>
      <c r="F255" s="20"/>
      <c r="G255" s="20"/>
      <c r="H255" s="60"/>
      <c r="I255" s="20"/>
      <c r="J255" s="20"/>
      <c r="K255" s="60"/>
      <c r="L255" s="20"/>
      <c r="M255" s="20"/>
      <c r="N255" s="20"/>
      <c r="O255" s="20"/>
      <c r="P255" s="281"/>
      <c r="Q255" s="135"/>
      <c r="R255" s="20"/>
      <c r="S255" s="60"/>
      <c r="T255" s="20"/>
      <c r="U255" s="30"/>
      <c r="V255" s="20"/>
      <c r="W255" s="20"/>
      <c r="X255" s="20"/>
    </row>
    <row r="256" spans="1:24" s="21" customFormat="1" ht="18" customHeight="1" ns2:dyDescent="0.3">
      <c r="A256" s="20"/>
      <c r="B256" s="139"/>
      <c r="C256" s="135"/>
      <c r="D256" s="20"/>
      <c r="E256" s="20"/>
      <c r="F256" s="20"/>
      <c r="G256" s="20"/>
      <c r="H256" s="60"/>
      <c r="I256" s="20"/>
      <c r="J256" s="20"/>
      <c r="K256" s="60"/>
      <c r="L256" s="20"/>
      <c r="M256" s="20"/>
      <c r="N256" s="20"/>
      <c r="O256" s="20"/>
      <c r="P256" s="281"/>
      <c r="Q256" s="135"/>
      <c r="R256" s="20"/>
      <c r="S256" s="60"/>
      <c r="T256" s="20"/>
      <c r="U256" s="30"/>
      <c r="V256" s="20"/>
      <c r="W256" s="20"/>
      <c r="X256" s="20"/>
    </row>
    <row r="257" spans="1:24" s="21" customFormat="1" ht="18" customHeight="1" ns2:dyDescent="0.3">
      <c r="A257" s="20"/>
      <c r="B257" s="139"/>
      <c r="C257" s="135"/>
      <c r="D257" s="20"/>
      <c r="E257" s="20"/>
      <c r="F257" s="20"/>
      <c r="G257" s="20"/>
      <c r="H257" s="60"/>
      <c r="I257" s="20"/>
      <c r="J257" s="20"/>
      <c r="K257" s="60"/>
      <c r="L257" s="20"/>
      <c r="M257" s="20"/>
      <c r="N257" s="20"/>
      <c r="O257" s="20"/>
      <c r="P257" s="281"/>
      <c r="Q257" s="135"/>
      <c r="R257" s="20"/>
      <c r="S257" s="60"/>
      <c r="T257" s="20"/>
      <c r="U257" s="30"/>
      <c r="V257" s="20"/>
      <c r="W257" s="20"/>
      <c r="X257" s="20"/>
    </row>
    <row r="258" spans="1:24" s="21" customFormat="1" ht="18" customHeight="1" ns2:dyDescent="0.3">
      <c r="A258" s="20"/>
      <c r="B258" s="139"/>
      <c r="C258" s="135"/>
      <c r="D258" s="20"/>
      <c r="E258" s="20"/>
      <c r="F258" s="20"/>
      <c r="G258" s="20"/>
      <c r="H258" s="60"/>
      <c r="I258" s="20"/>
      <c r="J258" s="20"/>
      <c r="K258" s="60"/>
      <c r="L258" s="20"/>
      <c r="M258" s="20"/>
      <c r="N258" s="20"/>
      <c r="O258" s="20"/>
      <c r="P258" s="281"/>
      <c r="Q258" s="135"/>
      <c r="R258" s="20"/>
      <c r="S258" s="60"/>
      <c r="T258" s="20"/>
      <c r="U258" s="30"/>
      <c r="V258" s="20"/>
      <c r="W258" s="20"/>
      <c r="X258" s="20"/>
    </row>
    <row r="259" spans="1:24" s="21" customFormat="1" ht="18" customHeight="1" ns2:dyDescent="0.3">
      <c r="A259" s="20"/>
      <c r="B259" s="139"/>
      <c r="C259" s="135"/>
      <c r="D259" s="20"/>
      <c r="E259" s="20"/>
      <c r="F259" s="20"/>
      <c r="G259" s="20"/>
      <c r="H259" s="60"/>
      <c r="I259" s="20"/>
      <c r="J259" s="20"/>
      <c r="K259" s="60"/>
      <c r="L259" s="20"/>
      <c r="M259" s="20"/>
      <c r="N259" s="20"/>
      <c r="O259" s="20"/>
      <c r="P259" s="281"/>
      <c r="Q259" s="135"/>
      <c r="R259" s="20"/>
      <c r="S259" s="60"/>
      <c r="T259" s="20"/>
      <c r="U259" s="30"/>
      <c r="V259" s="20"/>
      <c r="W259" s="20"/>
      <c r="X259" s="20"/>
    </row>
    <row r="260" spans="1:24" s="21" customFormat="1" ht="18" customHeight="1" ns2:dyDescent="0.3">
      <c r="A260" s="20"/>
      <c r="B260" s="139"/>
      <c r="C260" s="135"/>
      <c r="D260" s="20"/>
      <c r="E260" s="20"/>
      <c r="F260" s="20"/>
      <c r="G260" s="20"/>
      <c r="H260" s="60"/>
      <c r="I260" s="20"/>
      <c r="J260" s="20"/>
      <c r="K260" s="60"/>
      <c r="L260" s="20"/>
      <c r="M260" s="20"/>
      <c r="N260" s="20"/>
      <c r="O260" s="20"/>
      <c r="P260" s="281"/>
      <c r="Q260" s="135"/>
      <c r="R260" s="20"/>
      <c r="S260" s="60"/>
      <c r="T260" s="20"/>
      <c r="U260" s="30"/>
      <c r="V260" s="20"/>
      <c r="W260" s="20"/>
      <c r="X260" s="20"/>
    </row>
    <row r="261" spans="1:24" s="21" customFormat="1" ht="18" customHeight="1" ns2:dyDescent="0.3">
      <c r="A261" s="20"/>
      <c r="B261" s="139"/>
      <c r="C261" s="135"/>
      <c r="D261" s="20"/>
      <c r="E261" s="20"/>
      <c r="F261" s="20"/>
      <c r="G261" s="20"/>
      <c r="H261" s="60"/>
      <c r="I261" s="20"/>
      <c r="J261" s="20"/>
      <c r="K261" s="60"/>
      <c r="L261" s="20"/>
      <c r="M261" s="20"/>
      <c r="N261" s="20"/>
      <c r="O261" s="20"/>
      <c r="P261" s="281"/>
      <c r="Q261" s="135"/>
      <c r="R261" s="20"/>
      <c r="S261" s="60"/>
      <c r="T261" s="20"/>
      <c r="U261" s="30"/>
      <c r="V261" s="20"/>
      <c r="W261" s="20"/>
      <c r="X261" s="20"/>
    </row>
    <row r="262" spans="1:24" s="21" customFormat="1" ht="18" customHeight="1" ns2:dyDescent="0.3">
      <c r="A262" s="20"/>
      <c r="B262" s="139"/>
      <c r="C262" s="135"/>
      <c r="D262" s="20"/>
      <c r="E262" s="20"/>
      <c r="F262" s="20"/>
      <c r="G262" s="20"/>
      <c r="H262" s="60"/>
      <c r="I262" s="20"/>
      <c r="J262" s="20"/>
      <c r="K262" s="60"/>
      <c r="L262" s="20"/>
      <c r="M262" s="20"/>
      <c r="N262" s="20"/>
      <c r="O262" s="20"/>
      <c r="P262" s="281"/>
      <c r="Q262" s="135"/>
      <c r="R262" s="20"/>
      <c r="S262" s="60"/>
      <c r="T262" s="20"/>
      <c r="U262" s="30"/>
      <c r="V262" s="20"/>
      <c r="W262" s="20"/>
      <c r="X262" s="20"/>
    </row>
    <row r="263" spans="1:24" s="21" customFormat="1" ht="18" customHeight="1" ns2:dyDescent="0.3">
      <c r="A263" s="20"/>
      <c r="B263" s="139"/>
      <c r="C263" s="135"/>
      <c r="D263" s="20"/>
      <c r="E263" s="20"/>
      <c r="F263" s="20"/>
      <c r="G263" s="20"/>
      <c r="H263" s="60"/>
      <c r="I263" s="20"/>
      <c r="J263" s="20"/>
      <c r="K263" s="60"/>
      <c r="L263" s="20"/>
      <c r="M263" s="20"/>
      <c r="N263" s="20"/>
      <c r="O263" s="20"/>
      <c r="P263" s="281"/>
      <c r="Q263" s="135"/>
      <c r="R263" s="20"/>
      <c r="S263" s="60"/>
      <c r="T263" s="20"/>
      <c r="U263" s="30"/>
      <c r="V263" s="20"/>
      <c r="W263" s="20"/>
      <c r="X263" s="20"/>
    </row>
    <row r="264" spans="1:24" s="21" customFormat="1" ht="18" customHeight="1" ns2:dyDescent="0.3">
      <c r="A264" s="20"/>
      <c r="B264" s="139"/>
      <c r="C264" s="135"/>
      <c r="D264" s="20"/>
      <c r="E264" s="20"/>
      <c r="F264" s="20"/>
      <c r="G264" s="20"/>
      <c r="H264" s="60"/>
      <c r="I264" s="20"/>
      <c r="J264" s="20"/>
      <c r="K264" s="60"/>
      <c r="L264" s="20"/>
      <c r="M264" s="20"/>
      <c r="N264" s="20"/>
      <c r="O264" s="20"/>
      <c r="P264" s="281"/>
      <c r="Q264" s="135"/>
      <c r="R264" s="20"/>
      <c r="S264" s="60"/>
      <c r="T264" s="20"/>
      <c r="U264" s="30"/>
      <c r="V264" s="20"/>
      <c r="W264" s="20"/>
      <c r="X264" s="20"/>
    </row>
    <row r="265" spans="1:24" s="21" customFormat="1" ht="18" customHeight="1" ns2:dyDescent="0.3">
      <c r="A265" s="20"/>
      <c r="B265" s="139"/>
      <c r="C265" s="135"/>
      <c r="D265" s="20"/>
      <c r="E265" s="20"/>
      <c r="F265" s="20"/>
      <c r="G265" s="20"/>
      <c r="H265" s="60"/>
      <c r="I265" s="20"/>
      <c r="J265" s="20"/>
      <c r="K265" s="60"/>
      <c r="L265" s="20"/>
      <c r="M265" s="20"/>
      <c r="N265" s="20"/>
      <c r="O265" s="20"/>
      <c r="P265" s="281"/>
      <c r="Q265" s="135"/>
      <c r="R265" s="20"/>
      <c r="S265" s="60"/>
      <c r="T265" s="20"/>
      <c r="U265" s="30"/>
      <c r="V265" s="20"/>
      <c r="W265" s="20"/>
      <c r="X265" s="20"/>
    </row>
    <row r="266" spans="1:24" s="21" customFormat="1" ht="18" customHeight="1" ns2:dyDescent="0.3">
      <c r="A266" s="20"/>
      <c r="B266" s="139"/>
      <c r="C266" s="135"/>
      <c r="D266" s="20"/>
      <c r="E266" s="20"/>
      <c r="F266" s="20"/>
      <c r="G266" s="20"/>
      <c r="H266" s="60"/>
      <c r="I266" s="20"/>
      <c r="J266" s="20"/>
      <c r="K266" s="60"/>
      <c r="L266" s="20"/>
      <c r="M266" s="20"/>
      <c r="N266" s="20"/>
      <c r="O266" s="20"/>
      <c r="P266" s="281"/>
      <c r="Q266" s="135"/>
      <c r="R266" s="20"/>
      <c r="S266" s="60"/>
      <c r="T266" s="20"/>
      <c r="U266" s="30"/>
      <c r="V266" s="20"/>
      <c r="W266" s="20"/>
      <c r="X266" s="20"/>
    </row>
    <row r="267" spans="1:24" s="21" customFormat="1" ht="18" customHeight="1" ns2:dyDescent="0.3">
      <c r="A267" s="23"/>
      <c r="B267" s="195"/>
      <c r="C267" s="196"/>
      <c r="D267" s="23"/>
      <c r="E267" s="23"/>
      <c r="F267" s="23"/>
      <c r="G267" s="23"/>
      <c r="H267" s="60"/>
      <c r="I267" s="23"/>
      <c r="J267" s="23"/>
      <c r="K267" s="60"/>
      <c r="L267" s="23"/>
      <c r="M267" s="23"/>
      <c r="N267" s="23"/>
      <c r="O267" s="23"/>
      <c r="P267" s="283"/>
      <c r="Q267" s="196"/>
      <c r="R267" s="20"/>
      <c r="S267" s="60"/>
      <c r="T267" s="20"/>
      <c r="U267" s="30"/>
      <c r="V267" s="20"/>
      <c r="W267" s="20"/>
      <c r="X267" s="20"/>
    </row>
    <row r="268" spans="1:24" s="21" customFormat="1" ht="18" customHeight="1" ns2:dyDescent="0.3">
      <c r="B268" s="143"/>
      <c r="C268" s="134"/>
      <c r="H268" s="60"/>
      <c r="K268" s="60"/>
      <c r="P268" s="279"/>
      <c r="Q268" s="134"/>
      <c r="R268" s="20"/>
      <c r="S268" s="60"/>
      <c r="T268" s="20"/>
      <c r="U268" s="30"/>
      <c r="V268" s="20"/>
      <c r="W268" s="20"/>
      <c r="X268" s="20"/>
    </row>
    <row r="269" spans="1:24" s="21" customFormat="1" ht="18" customHeight="1" ns2:dyDescent="0.3">
      <c r="B269" s="143"/>
      <c r="C269" s="134"/>
      <c r="H269" s="60"/>
      <c r="K269" s="60"/>
      <c r="P269" s="279"/>
      <c r="Q269" s="134"/>
      <c r="R269" s="20"/>
      <c r="S269" s="60"/>
      <c r="T269" s="20"/>
      <c r="U269" s="30"/>
      <c r="V269" s="20"/>
      <c r="W269" s="20"/>
      <c r="X269" s="20"/>
    </row>
    <row r="270" spans="1:24" s="21" customFormat="1" ht="18" customHeight="1" ns2:dyDescent="0.3">
      <c r="B270" s="143"/>
      <c r="C270" s="134"/>
      <c r="H270" s="60"/>
      <c r="K270" s="60"/>
      <c r="P270" s="279"/>
      <c r="Q270" s="134"/>
      <c r="R270" s="20"/>
      <c r="S270" s="60"/>
      <c r="T270" s="20"/>
      <c r="U270" s="27"/>
      <c r="V270" s="20"/>
      <c r="W270" s="20"/>
      <c r="X270" s="20"/>
    </row>
    <row r="271" spans="1:24" s="21" customFormat="1" ht="18" customHeight="1" ns2:dyDescent="0.3">
      <c r="B271" s="143"/>
      <c r="C271" s="134"/>
      <c r="H271" s="60"/>
      <c r="K271" s="60"/>
      <c r="P271" s="279"/>
      <c r="Q271" s="134"/>
      <c r="R271" s="20"/>
      <c r="S271" s="60"/>
      <c r="T271" s="20"/>
      <c r="U271" s="27"/>
      <c r="V271" s="20"/>
      <c r="W271" s="20"/>
      <c r="X271" s="20"/>
    </row>
    <row r="272" spans="1:24" s="21" customFormat="1" ht="18" customHeight="1" ns2:dyDescent="0.3">
      <c r="B272" s="143"/>
      <c r="C272" s="134"/>
      <c r="H272" s="60"/>
      <c r="K272" s="60"/>
      <c r="P272" s="279"/>
      <c r="Q272" s="134"/>
      <c r="R272" s="20"/>
      <c r="S272" s="60"/>
      <c r="T272" s="20"/>
      <c r="U272" s="27"/>
      <c r="V272" s="20"/>
      <c r="W272" s="20"/>
      <c r="X272" s="20"/>
    </row>
    <row r="273" spans="2:24" s="21" customFormat="1" ht="18" customHeight="1" ns2:dyDescent="0.3">
      <c r="B273" s="143"/>
      <c r="C273" s="134"/>
      <c r="H273" s="60"/>
      <c r="K273" s="60"/>
      <c r="P273" s="279"/>
      <c r="Q273" s="134"/>
      <c r="R273" s="20"/>
      <c r="S273" s="60"/>
      <c r="T273" s="20"/>
      <c r="U273" s="27"/>
      <c r="V273" s="20"/>
      <c r="W273" s="20"/>
      <c r="X273" s="20"/>
    </row>
    <row r="274" spans="2:24" s="21" customFormat="1" ht="18" customHeight="1" ns2:dyDescent="0.3">
      <c r="B274" s="143"/>
      <c r="C274" s="134"/>
      <c r="H274" s="60"/>
      <c r="K274" s="60"/>
      <c r="P274" s="279"/>
      <c r="Q274" s="134"/>
      <c r="R274" s="20"/>
      <c r="S274" s="60"/>
      <c r="T274" s="20"/>
      <c r="U274" s="27"/>
      <c r="V274" s="20"/>
      <c r="W274" s="20"/>
      <c r="X274" s="20"/>
    </row>
    <row r="275" spans="2:24" s="21" customFormat="1" ht="18" customHeight="1" ns2:dyDescent="0.3">
      <c r="B275" s="143"/>
      <c r="C275" s="134"/>
      <c r="H275" s="60"/>
      <c r="K275" s="60"/>
      <c r="P275" s="279"/>
      <c r="Q275" s="134"/>
      <c r="R275" s="20"/>
      <c r="S275" s="60"/>
      <c r="T275" s="20"/>
      <c r="U275" s="27"/>
      <c r="V275" s="20"/>
      <c r="W275" s="20"/>
      <c r="X275" s="20"/>
    </row>
    <row r="276" spans="2:24" s="21" customFormat="1" ht="18" customHeight="1" ns2:dyDescent="0.3">
      <c r="B276" s="143"/>
      <c r="C276" s="134"/>
      <c r="H276" s="60"/>
      <c r="K276" s="60"/>
      <c r="P276" s="279"/>
      <c r="Q276" s="134"/>
      <c r="R276" s="20"/>
      <c r="S276" s="60"/>
      <c r="T276" s="20"/>
      <c r="U276" s="27"/>
      <c r="V276" s="20"/>
      <c r="W276" s="20"/>
      <c r="X276" s="20"/>
    </row>
    <row r="277" spans="2:24" s="21" customFormat="1" ht="18" customHeight="1" ns2:dyDescent="0.3">
      <c r="B277" s="143"/>
      <c r="C277" s="134"/>
      <c r="H277" s="60"/>
      <c r="K277" s="60"/>
      <c r="P277" s="279"/>
      <c r="Q277" s="134"/>
      <c r="R277" s="23"/>
      <c r="S277" s="60"/>
      <c r="T277" s="24"/>
      <c r="U277" s="27"/>
      <c r="V277" s="20"/>
      <c r="W277" s="20"/>
      <c r="X277" s="20"/>
    </row>
    <row r="278" spans="2:24" s="21" customFormat="1" ht="18" customHeight="1" ns2:dyDescent="0.3">
      <c r="B278" s="143"/>
      <c r="C278" s="134"/>
      <c r="H278" s="60"/>
      <c r="K278" s="60"/>
      <c r="P278" s="279"/>
      <c r="Q278" s="134"/>
      <c r="S278" s="60"/>
      <c r="T278" s="22"/>
      <c r="U278" s="27"/>
      <c r="V278" s="20"/>
      <c r="W278" s="20"/>
      <c r="X278" s="20"/>
    </row>
    <row r="279" spans="2:24" s="21" customFormat="1" ht="18" customHeight="1" ns2:dyDescent="0.3">
      <c r="B279" s="143"/>
      <c r="C279" s="134"/>
      <c r="H279" s="60"/>
      <c r="K279" s="60"/>
      <c r="P279" s="279"/>
      <c r="Q279" s="134"/>
      <c r="S279" s="60"/>
      <c r="T279" s="22"/>
      <c r="U279" s="27"/>
      <c r="V279" s="20"/>
      <c r="W279" s="20"/>
      <c r="X279" s="20"/>
    </row>
    <row r="280" spans="2:24" s="21" customFormat="1" ht="18" customHeight="1" ns2:dyDescent="0.3">
      <c r="B280" s="143"/>
      <c r="C280" s="134"/>
      <c r="H280" s="60"/>
      <c r="K280" s="60"/>
      <c r="P280" s="279"/>
      <c r="Q280" s="134"/>
      <c r="S280" s="60"/>
      <c r="T280" s="22"/>
      <c r="U280" s="27"/>
      <c r="V280" s="20"/>
      <c r="W280" s="20"/>
      <c r="X280" s="20"/>
    </row>
    <row r="281" spans="2:24" s="21" customFormat="1" ht="18" customHeight="1" ns2:dyDescent="0.3">
      <c r="B281" s="143"/>
      <c r="C281" s="134"/>
      <c r="H281" s="60"/>
      <c r="K281" s="60"/>
      <c r="P281" s="279"/>
      <c r="Q281" s="134"/>
      <c r="S281" s="60"/>
      <c r="T281" s="22"/>
      <c r="U281" s="27"/>
      <c r="V281" s="20"/>
      <c r="W281" s="20"/>
      <c r="X281" s="20"/>
    </row>
    <row r="282" spans="2:24" s="21" customFormat="1" ht="18" customHeight="1" ns2:dyDescent="0.3">
      <c r="B282" s="143"/>
      <c r="C282" s="134"/>
      <c r="H282" s="60"/>
      <c r="K282" s="60"/>
      <c r="P282" s="279"/>
      <c r="Q282" s="134"/>
      <c r="S282" s="60"/>
      <c r="T282" s="22"/>
      <c r="U282" s="27"/>
      <c r="V282" s="20"/>
      <c r="W282" s="20"/>
      <c r="X282" s="20"/>
    </row>
    <row r="283" spans="2:24" s="21" customFormat="1" ht="18" customHeight="1" ns2:dyDescent="0.3">
      <c r="B283" s="143"/>
      <c r="C283" s="134"/>
      <c r="H283" s="60"/>
      <c r="K283" s="60"/>
      <c r="P283" s="279"/>
      <c r="Q283" s="134"/>
      <c r="S283" s="60"/>
      <c r="T283" s="22"/>
      <c r="U283" s="27"/>
      <c r="V283" s="20"/>
      <c r="W283" s="20"/>
      <c r="X283" s="20"/>
    </row>
    <row r="284" spans="2:24" s="21" customFormat="1" ht="18" customHeight="1" ns2:dyDescent="0.3">
      <c r="B284" s="143"/>
      <c r="C284" s="134"/>
      <c r="H284" s="60"/>
      <c r="K284" s="60"/>
      <c r="P284" s="279"/>
      <c r="Q284" s="134"/>
      <c r="S284" s="60"/>
      <c r="T284" s="22"/>
      <c r="U284" s="27"/>
      <c r="V284" s="20"/>
      <c r="W284" s="20"/>
      <c r="X284" s="20"/>
    </row>
    <row r="285" spans="2:24" s="21" customFormat="1" ht="18" customHeight="1" ns2:dyDescent="0.3">
      <c r="B285" s="143"/>
      <c r="C285" s="134"/>
      <c r="H285" s="60"/>
      <c r="K285" s="60"/>
      <c r="P285" s="279"/>
      <c r="Q285" s="134"/>
      <c r="S285" s="60"/>
      <c r="U285" s="27"/>
    </row>
    <row r="286" spans="2:24" s="21" customFormat="1" ht="18" customHeight="1" ns2:dyDescent="0.3">
      <c r="B286" s="143"/>
      <c r="C286" s="134"/>
      <c r="H286" s="60"/>
      <c r="K286" s="60"/>
      <c r="P286" s="279"/>
      <c r="Q286" s="134"/>
      <c r="S286" s="60"/>
      <c r="U286" s="27"/>
    </row>
    <row r="287" spans="2:24" s="21" customFormat="1" ht="18" customHeight="1" ns2:dyDescent="0.3">
      <c r="B287" s="143"/>
      <c r="C287" s="134"/>
      <c r="H287" s="60"/>
      <c r="K287" s="60"/>
      <c r="P287" s="279"/>
      <c r="Q287" s="134"/>
      <c r="S287" s="60"/>
      <c r="U287" s="27"/>
    </row>
    <row r="288" spans="2:24" s="21" customFormat="1" ht="18" customHeight="1" ns2:dyDescent="0.3">
      <c r="B288" s="143"/>
      <c r="C288" s="134"/>
      <c r="H288" s="60"/>
      <c r="K288" s="60"/>
      <c r="P288" s="279"/>
      <c r="Q288" s="134"/>
      <c r="S288" s="60"/>
      <c r="U288" s="27"/>
    </row>
    <row r="289" spans="2:21" s="21" customFormat="1" ht="18" customHeight="1" ns2:dyDescent="0.3">
      <c r="B289" s="143"/>
      <c r="C289" s="134"/>
      <c r="H289" s="60"/>
      <c r="K289" s="60"/>
      <c r="P289" s="279"/>
      <c r="Q289" s="134"/>
      <c r="S289" s="60"/>
      <c r="U289" s="27"/>
    </row>
    <row r="290" spans="2:21" s="21" customFormat="1" ht="18" customHeight="1" ns2:dyDescent="0.3">
      <c r="B290" s="143"/>
      <c r="C290" s="134"/>
      <c r="H290" s="60"/>
      <c r="K290" s="60"/>
      <c r="P290" s="279"/>
      <c r="Q290" s="134"/>
      <c r="S290" s="60"/>
      <c r="U290" s="27"/>
    </row>
    <row r="291" spans="2:21" s="21" customFormat="1" ht="18" customHeight="1" ns2:dyDescent="0.3">
      <c r="B291" s="143"/>
      <c r="C291" s="134"/>
      <c r="H291" s="60"/>
      <c r="K291" s="60"/>
      <c r="P291" s="279"/>
      <c r="Q291" s="134"/>
      <c r="S291" s="60"/>
      <c r="U291" s="27"/>
    </row>
    <row r="292" spans="2:21" s="21" customFormat="1" ht="18" customHeight="1" ns2:dyDescent="0.3">
      <c r="B292" s="143"/>
      <c r="C292" s="134"/>
      <c r="H292" s="60"/>
      <c r="K292" s="60"/>
      <c r="P292" s="279"/>
      <c r="Q292" s="134"/>
      <c r="S292" s="60"/>
      <c r="U292" s="27"/>
    </row>
    <row r="293" spans="2:21" s="21" customFormat="1" ht="18" customHeight="1" ns2:dyDescent="0.3">
      <c r="B293" s="143"/>
      <c r="C293" s="134"/>
      <c r="H293" s="60"/>
      <c r="K293" s="60"/>
      <c r="P293" s="279"/>
      <c r="Q293" s="134"/>
      <c r="S293" s="60"/>
      <c r="U293" s="27"/>
    </row>
    <row r="294" spans="2:21" s="21" customFormat="1" ht="18" customHeight="1" ns2:dyDescent="0.3">
      <c r="B294" s="143"/>
      <c r="C294" s="134"/>
      <c r="H294" s="60"/>
      <c r="K294" s="60"/>
      <c r="P294" s="279"/>
      <c r="Q294" s="134"/>
      <c r="S294" s="60"/>
      <c r="U294" s="27"/>
    </row>
    <row r="295" spans="2:21" s="21" customFormat="1" ht="18" customHeight="1" ns2:dyDescent="0.3">
      <c r="B295" s="143"/>
      <c r="C295" s="134"/>
      <c r="H295" s="60"/>
      <c r="K295" s="60"/>
      <c r="P295" s="279"/>
      <c r="Q295" s="134"/>
      <c r="S295" s="60"/>
      <c r="U295" s="27"/>
    </row>
    <row r="296" spans="2:21" s="21" customFormat="1" ht="18" customHeight="1" ns2:dyDescent="0.3">
      <c r="B296" s="143"/>
      <c r="C296" s="134"/>
      <c r="H296" s="60"/>
      <c r="K296" s="60"/>
      <c r="P296" s="279"/>
      <c r="Q296" s="134"/>
      <c r="S296" s="60"/>
      <c r="U296" s="27"/>
    </row>
    <row r="297" spans="2:21" s="21" customFormat="1" ht="18" customHeight="1" ns2:dyDescent="0.3">
      <c r="B297" s="143"/>
      <c r="C297" s="134"/>
      <c r="H297" s="60"/>
      <c r="K297" s="60"/>
      <c r="P297" s="279"/>
      <c r="Q297" s="134"/>
      <c r="S297" s="60"/>
      <c r="U297" s="27"/>
    </row>
    <row r="298" spans="2:21" s="21" customFormat="1" ht="18" customHeight="1" ns2:dyDescent="0.3">
      <c r="B298" s="143"/>
      <c r="C298" s="134"/>
      <c r="H298" s="60"/>
      <c r="K298" s="60"/>
      <c r="P298" s="279"/>
      <c r="Q298" s="134"/>
      <c r="S298" s="60"/>
      <c r="U298" s="27"/>
    </row>
    <row r="299" spans="2:21" s="21" customFormat="1" ht="18" customHeight="1" ns2:dyDescent="0.3">
      <c r="B299" s="143"/>
      <c r="C299" s="134"/>
      <c r="H299" s="60"/>
      <c r="K299" s="60"/>
      <c r="P299" s="279"/>
      <c r="Q299" s="134"/>
      <c r="S299" s="60"/>
      <c r="U299" s="27"/>
    </row>
    <row r="300" spans="2:21" s="21" customFormat="1" ht="18" customHeight="1" ns2:dyDescent="0.3">
      <c r="B300" s="143"/>
      <c r="C300" s="134"/>
      <c r="H300" s="60"/>
      <c r="K300" s="60"/>
      <c r="P300" s="279"/>
      <c r="Q300" s="134"/>
      <c r="S300" s="60"/>
      <c r="U300" s="27"/>
    </row>
    <row r="301" spans="2:21" s="21" customFormat="1" ht="18" customHeight="1" ns2:dyDescent="0.3">
      <c r="B301" s="143"/>
      <c r="C301" s="134"/>
      <c r="H301" s="60"/>
      <c r="K301" s="60"/>
      <c r="P301" s="279"/>
      <c r="Q301" s="134"/>
      <c r="S301" s="60"/>
      <c r="U301" s="27"/>
    </row>
    <row r="302" spans="2:21" s="21" customFormat="1" ht="18" customHeight="1" ns2:dyDescent="0.3">
      <c r="B302" s="143"/>
      <c r="C302" s="134"/>
      <c r="H302" s="60"/>
      <c r="K302" s="60"/>
      <c r="P302" s="279"/>
      <c r="Q302" s="134"/>
      <c r="S302" s="60"/>
      <c r="U302" s="27"/>
    </row>
    <row r="303" spans="2:21" s="21" customFormat="1" ht="18" customHeight="1" ns2:dyDescent="0.3">
      <c r="B303" s="143"/>
      <c r="C303" s="134"/>
      <c r="H303" s="60"/>
      <c r="K303" s="60"/>
      <c r="P303" s="279"/>
      <c r="Q303" s="134"/>
      <c r="S303" s="60"/>
      <c r="U303" s="27"/>
    </row>
    <row r="304" spans="2:21" s="21" customFormat="1" ht="18" customHeight="1" ns2:dyDescent="0.3">
      <c r="B304" s="143"/>
      <c r="C304" s="134"/>
      <c r="H304" s="60"/>
      <c r="K304" s="60"/>
      <c r="P304" s="279"/>
      <c r="Q304" s="134"/>
      <c r="S304" s="60"/>
      <c r="U304" s="27"/>
    </row>
    <row r="305" spans="2:21" s="21" customFormat="1" ht="18" customHeight="1" ns2:dyDescent="0.3">
      <c r="B305" s="143"/>
      <c r="C305" s="134"/>
      <c r="H305" s="60"/>
      <c r="K305" s="60"/>
      <c r="P305" s="279"/>
      <c r="Q305" s="134"/>
      <c r="S305" s="60"/>
      <c r="U305" s="27"/>
    </row>
    <row r="306" spans="2:21" s="21" customFormat="1" ht="18" customHeight="1" ns2:dyDescent="0.3">
      <c r="B306" s="143"/>
      <c r="C306" s="134"/>
      <c r="H306" s="60"/>
      <c r="K306" s="60"/>
      <c r="P306" s="279"/>
      <c r="Q306" s="134"/>
      <c r="S306" s="60"/>
      <c r="U306" s="27"/>
    </row>
    <row r="307" spans="2:21" s="21" customFormat="1" ht="18" customHeight="1" ns2:dyDescent="0.3">
      <c r="B307" s="143"/>
      <c r="C307" s="134"/>
      <c r="H307" s="60"/>
      <c r="K307" s="60"/>
      <c r="P307" s="279"/>
      <c r="Q307" s="134"/>
      <c r="S307" s="60"/>
      <c r="U307" s="27"/>
    </row>
    <row r="308" spans="2:21" s="21" customFormat="1" ht="18" customHeight="1" ns2:dyDescent="0.3">
      <c r="B308" s="143"/>
      <c r="C308" s="134"/>
      <c r="H308" s="60"/>
      <c r="K308" s="60"/>
      <c r="P308" s="279"/>
      <c r="Q308" s="134"/>
      <c r="S308" s="60"/>
      <c r="U308" s="27"/>
    </row>
    <row r="309" spans="2:21" s="21" customFormat="1" ht="18" customHeight="1" ns2:dyDescent="0.3">
      <c r="B309" s="143"/>
      <c r="C309" s="134"/>
      <c r="H309" s="60"/>
      <c r="K309" s="60"/>
      <c r="P309" s="279"/>
      <c r="Q309" s="134"/>
      <c r="S309" s="60"/>
      <c r="U309" s="27"/>
    </row>
    <row r="310" spans="2:21" s="21" customFormat="1" ht="18" customHeight="1" ns2:dyDescent="0.3">
      <c r="B310" s="143"/>
      <c r="C310" s="134"/>
      <c r="H310" s="60"/>
      <c r="K310" s="60"/>
      <c r="P310" s="279"/>
      <c r="Q310" s="134"/>
      <c r="S310" s="60"/>
      <c r="U310" s="27"/>
    </row>
    <row r="311" spans="2:21" s="21" customFormat="1" ht="18" customHeight="1" ns2:dyDescent="0.3">
      <c r="B311" s="143"/>
      <c r="C311" s="134"/>
      <c r="H311" s="60"/>
      <c r="K311" s="60"/>
      <c r="P311" s="279"/>
      <c r="Q311" s="134"/>
      <c r="S311" s="60"/>
      <c r="U311" s="27"/>
    </row>
    <row r="312" spans="2:21" s="21" customFormat="1" ht="18" customHeight="1" ns2:dyDescent="0.3">
      <c r="B312" s="143"/>
      <c r="C312" s="134"/>
      <c r="H312" s="60"/>
      <c r="K312" s="60"/>
      <c r="P312" s="279"/>
      <c r="Q312" s="134"/>
      <c r="S312" s="60"/>
      <c r="U312" s="27"/>
    </row>
    <row r="313" spans="2:21" s="21" customFormat="1" ht="18" customHeight="1" ns2:dyDescent="0.3">
      <c r="B313" s="143"/>
      <c r="C313" s="134"/>
      <c r="H313" s="60"/>
      <c r="K313" s="60"/>
      <c r="P313" s="279"/>
      <c r="Q313" s="134"/>
      <c r="S313" s="60"/>
      <c r="U313" s="27"/>
    </row>
    <row r="314" spans="2:21" s="21" customFormat="1" ht="18" customHeight="1" ns2:dyDescent="0.3">
      <c r="B314" s="143"/>
      <c r="C314" s="134"/>
      <c r="H314" s="60"/>
      <c r="K314" s="60"/>
      <c r="P314" s="279"/>
      <c r="Q314" s="134"/>
      <c r="S314" s="60"/>
      <c r="U314" s="27"/>
    </row>
    <row r="315" spans="2:21" s="21" customFormat="1" ht="18" customHeight="1" ns2:dyDescent="0.3">
      <c r="B315" s="143"/>
      <c r="C315" s="134"/>
      <c r="H315" s="60"/>
      <c r="K315" s="60"/>
      <c r="P315" s="279"/>
      <c r="Q315" s="134"/>
      <c r="S315" s="60"/>
      <c r="U315" s="27"/>
    </row>
    <row r="316" spans="2:21" s="21" customFormat="1" ht="18" customHeight="1" ns2:dyDescent="0.3">
      <c r="B316" s="143"/>
      <c r="C316" s="134"/>
      <c r="H316" s="60"/>
      <c r="K316" s="60"/>
      <c r="P316" s="279"/>
      <c r="Q316" s="134"/>
      <c r="S316" s="60"/>
      <c r="U316" s="27"/>
    </row>
    <row r="317" spans="2:21" s="21" customFormat="1" ht="18" customHeight="1" ns2:dyDescent="0.3">
      <c r="B317" s="143"/>
      <c r="C317" s="134"/>
      <c r="H317" s="60"/>
      <c r="K317" s="60"/>
      <c r="P317" s="279"/>
      <c r="Q317" s="134"/>
      <c r="S317" s="60"/>
      <c r="U317" s="27"/>
    </row>
    <row r="318" spans="2:21" s="21" customFormat="1" ht="18" customHeight="1" ns2:dyDescent="0.3">
      <c r="B318" s="143"/>
      <c r="C318" s="134"/>
      <c r="H318" s="60"/>
      <c r="K318" s="60"/>
      <c r="P318" s="279"/>
      <c r="Q318" s="134"/>
      <c r="S318" s="60"/>
      <c r="U318" s="27"/>
    </row>
    <row r="319" spans="2:21" s="21" customFormat="1" ht="18" customHeight="1" ns2:dyDescent="0.3">
      <c r="B319" s="143"/>
      <c r="C319" s="134"/>
      <c r="H319" s="60"/>
      <c r="K319" s="60"/>
      <c r="P319" s="279"/>
      <c r="Q319" s="134"/>
      <c r="S319" s="60"/>
      <c r="U319" s="27"/>
    </row>
    <row r="320" spans="2:21" s="21" customFormat="1" ht="18" customHeight="1" ns2:dyDescent="0.3">
      <c r="B320" s="143"/>
      <c r="C320" s="134"/>
      <c r="H320" s="60"/>
      <c r="K320" s="60"/>
      <c r="P320" s="279"/>
      <c r="Q320" s="134"/>
      <c r="S320" s="60"/>
      <c r="U320" s="27"/>
    </row>
    <row r="321" spans="2:21" s="21" customFormat="1" ht="18" customHeight="1" ns2:dyDescent="0.3">
      <c r="B321" s="143"/>
      <c r="C321" s="134"/>
      <c r="H321" s="60"/>
      <c r="K321" s="60"/>
      <c r="P321" s="279"/>
      <c r="Q321" s="134"/>
      <c r="S321" s="60"/>
      <c r="U321" s="27"/>
    </row>
    <row r="322" spans="2:21" s="21" customFormat="1" ht="18" customHeight="1" ns2:dyDescent="0.3">
      <c r="B322" s="143"/>
      <c r="C322" s="134"/>
      <c r="H322" s="60"/>
      <c r="K322" s="60"/>
      <c r="P322" s="279"/>
      <c r="Q322" s="134"/>
      <c r="S322" s="60"/>
      <c r="U322" s="27"/>
    </row>
    <row r="323" spans="2:21" s="21" customFormat="1" ht="18" customHeight="1" ns2:dyDescent="0.3">
      <c r="B323" s="143"/>
      <c r="C323" s="134"/>
      <c r="H323" s="60"/>
      <c r="K323" s="60"/>
      <c r="P323" s="279"/>
      <c r="Q323" s="134"/>
      <c r="S323" s="60"/>
      <c r="U323" s="27"/>
    </row>
    <row r="324" spans="2:21" s="21" customFormat="1" ht="18" customHeight="1" ns2:dyDescent="0.3">
      <c r="B324" s="143"/>
      <c r="C324" s="134"/>
      <c r="H324" s="60"/>
      <c r="K324" s="60"/>
      <c r="P324" s="279"/>
      <c r="Q324" s="134"/>
      <c r="S324" s="60"/>
      <c r="U324" s="27"/>
    </row>
    <row r="325" spans="2:21" s="21" customFormat="1" ht="18" customHeight="1" ns2:dyDescent="0.3">
      <c r="B325" s="143"/>
      <c r="C325" s="134"/>
      <c r="H325" s="60"/>
      <c r="K325" s="60"/>
      <c r="P325" s="279"/>
      <c r="Q325" s="134"/>
      <c r="S325" s="60"/>
      <c r="U325" s="27"/>
    </row>
    <row r="326" spans="2:21" s="21" customFormat="1" ht="18" customHeight="1" ns2:dyDescent="0.3">
      <c r="B326" s="143"/>
      <c r="C326" s="134"/>
      <c r="H326" s="60"/>
      <c r="K326" s="60"/>
      <c r="P326" s="279"/>
      <c r="Q326" s="134"/>
      <c r="S326" s="60"/>
      <c r="U326" s="27"/>
    </row>
    <row r="327" spans="2:21" s="21" customFormat="1" ht="18" customHeight="1" ns2:dyDescent="0.3">
      <c r="B327" s="143"/>
      <c r="C327" s="134"/>
      <c r="H327" s="60"/>
      <c r="K327" s="60"/>
      <c r="P327" s="279"/>
      <c r="Q327" s="134"/>
      <c r="S327" s="60"/>
      <c r="U327" s="27"/>
    </row>
    <row r="328" spans="2:21" s="21" customFormat="1" ht="18" customHeight="1" ns2:dyDescent="0.3">
      <c r="B328" s="143"/>
      <c r="C328" s="134"/>
      <c r="H328" s="60"/>
      <c r="K328" s="60"/>
      <c r="P328" s="279"/>
      <c r="Q328" s="134"/>
      <c r="S328" s="60"/>
      <c r="U328" s="27"/>
    </row>
    <row r="329" spans="2:21" s="21" customFormat="1" ht="18" customHeight="1" ns2:dyDescent="0.3">
      <c r="B329" s="143"/>
      <c r="C329" s="134"/>
      <c r="H329" s="60"/>
      <c r="K329" s="60"/>
      <c r="P329" s="279"/>
      <c r="Q329" s="134"/>
      <c r="S329" s="60"/>
      <c r="U329" s="27"/>
    </row>
    <row r="330" spans="2:21" s="21" customFormat="1" ht="18" customHeight="1" ns2:dyDescent="0.3">
      <c r="B330" s="143"/>
      <c r="C330" s="134"/>
      <c r="H330" s="60"/>
      <c r="K330" s="60"/>
      <c r="P330" s="279"/>
      <c r="Q330" s="134"/>
      <c r="S330" s="60"/>
      <c r="U330" s="27"/>
    </row>
    <row r="331" spans="2:21" s="21" customFormat="1" ht="18" customHeight="1" ns2:dyDescent="0.3">
      <c r="B331" s="143"/>
      <c r="C331" s="134"/>
      <c r="H331" s="60"/>
      <c r="K331" s="60"/>
      <c r="P331" s="279"/>
      <c r="Q331" s="134"/>
      <c r="S331" s="60"/>
      <c r="U331" s="27"/>
    </row>
    <row r="332" spans="2:21" s="21" customFormat="1" ht="18" customHeight="1" ns2:dyDescent="0.3">
      <c r="B332" s="143"/>
      <c r="C332" s="134"/>
      <c r="H332" s="60"/>
      <c r="K332" s="60"/>
      <c r="P332" s="279"/>
      <c r="Q332" s="134"/>
      <c r="S332" s="60"/>
      <c r="U332" s="27"/>
    </row>
    <row r="333" spans="2:21" s="21" customFormat="1" ht="18" customHeight="1" ns2:dyDescent="0.3">
      <c r="B333" s="143"/>
      <c r="C333" s="134"/>
      <c r="H333" s="60"/>
      <c r="K333" s="60"/>
      <c r="P333" s="279"/>
      <c r="Q333" s="134"/>
      <c r="S333" s="60"/>
      <c r="U333" s="27"/>
    </row>
    <row r="334" spans="2:21" s="21" customFormat="1" ht="18" customHeight="1" ns2:dyDescent="0.3">
      <c r="B334" s="143"/>
      <c r="C334" s="134"/>
      <c r="H334" s="60"/>
      <c r="K334" s="60"/>
      <c r="P334" s="279"/>
      <c r="Q334" s="134"/>
      <c r="S334" s="60"/>
      <c r="U334" s="27"/>
    </row>
    <row r="335" spans="2:21" s="21" customFormat="1" ht="18" customHeight="1" ns2:dyDescent="0.3">
      <c r="B335" s="143"/>
      <c r="C335" s="134"/>
      <c r="H335" s="60"/>
      <c r="K335" s="60"/>
      <c r="P335" s="279"/>
      <c r="Q335" s="134"/>
      <c r="S335" s="60"/>
      <c r="U335" s="27"/>
    </row>
    <row r="336" spans="2:21" s="21" customFormat="1" ht="18" customHeight="1" ns2:dyDescent="0.3">
      <c r="B336" s="143"/>
      <c r="C336" s="134"/>
      <c r="H336" s="60"/>
      <c r="K336" s="60"/>
      <c r="P336" s="279"/>
      <c r="Q336" s="134"/>
      <c r="S336" s="60"/>
      <c r="U336" s="27"/>
    </row>
    <row r="337" spans="2:21" s="21" customFormat="1" ht="18" customHeight="1" ns2:dyDescent="0.3">
      <c r="B337" s="143"/>
      <c r="C337" s="134"/>
      <c r="H337" s="60"/>
      <c r="K337" s="60"/>
      <c r="P337" s="279"/>
      <c r="Q337" s="134"/>
      <c r="S337" s="60"/>
      <c r="U337" s="27"/>
    </row>
    <row r="338" spans="2:21" s="21" customFormat="1" ht="18" customHeight="1" ns2:dyDescent="0.3">
      <c r="B338" s="143"/>
      <c r="C338" s="134"/>
      <c r="H338" s="60"/>
      <c r="K338" s="60"/>
      <c r="P338" s="279"/>
      <c r="Q338" s="134"/>
      <c r="S338" s="60"/>
      <c r="U338" s="27"/>
    </row>
    <row r="339" spans="2:21" s="21" customFormat="1" ht="18" customHeight="1" ns2:dyDescent="0.3">
      <c r="B339" s="143"/>
      <c r="C339" s="134"/>
      <c r="H339" s="60"/>
      <c r="K339" s="60"/>
      <c r="P339" s="279"/>
      <c r="Q339" s="134"/>
      <c r="S339" s="60"/>
      <c r="U339" s="27"/>
    </row>
    <row r="340" spans="2:21" s="21" customFormat="1" ht="18" customHeight="1" ns2:dyDescent="0.3">
      <c r="B340" s="143"/>
      <c r="C340" s="134"/>
      <c r="H340" s="60"/>
      <c r="K340" s="60"/>
      <c r="P340" s="279"/>
      <c r="Q340" s="134"/>
      <c r="S340" s="60"/>
      <c r="U340" s="27"/>
    </row>
    <row r="341" spans="2:21" s="21" customFormat="1" ht="18" customHeight="1" ns2:dyDescent="0.3">
      <c r="B341" s="143"/>
      <c r="C341" s="134"/>
      <c r="H341" s="60"/>
      <c r="K341" s="60"/>
      <c r="P341" s="279"/>
      <c r="Q341" s="134"/>
      <c r="S341" s="60"/>
      <c r="U341" s="27"/>
    </row>
    <row r="342" spans="2:21" s="21" customFormat="1" ht="18" customHeight="1" ns2:dyDescent="0.3">
      <c r="B342" s="143"/>
      <c r="C342" s="134"/>
      <c r="H342" s="60"/>
      <c r="K342" s="60"/>
      <c r="P342" s="279"/>
      <c r="Q342" s="134"/>
      <c r="S342" s="60"/>
      <c r="U342" s="27"/>
    </row>
    <row r="343" spans="2:21" s="21" customFormat="1" ht="18" customHeight="1" ns2:dyDescent="0.3">
      <c r="B343" s="143"/>
      <c r="C343" s="134"/>
      <c r="H343" s="60"/>
      <c r="K343" s="60"/>
      <c r="P343" s="279"/>
      <c r="Q343" s="134"/>
      <c r="S343" s="60"/>
      <c r="U343" s="27"/>
    </row>
    <row r="344" spans="2:21" s="21" customFormat="1" ht="18" customHeight="1" ns2:dyDescent="0.3">
      <c r="B344" s="143"/>
      <c r="C344" s="134"/>
      <c r="H344" s="60"/>
      <c r="K344" s="60"/>
      <c r="P344" s="279"/>
      <c r="Q344" s="134"/>
      <c r="S344" s="60"/>
      <c r="U344" s="27"/>
    </row>
    <row r="345" spans="2:21" s="21" customFormat="1" ht="18" customHeight="1" ns2:dyDescent="0.3">
      <c r="B345" s="143"/>
      <c r="C345" s="134"/>
      <c r="H345" s="60"/>
      <c r="K345" s="60"/>
      <c r="P345" s="279"/>
      <c r="Q345" s="134"/>
      <c r="S345" s="60"/>
      <c r="U345" s="27"/>
    </row>
    <row r="346" spans="2:21" s="21" customFormat="1" ht="18" customHeight="1" ns2:dyDescent="0.3">
      <c r="B346" s="143"/>
      <c r="C346" s="134"/>
      <c r="H346" s="60"/>
      <c r="K346" s="60"/>
      <c r="P346" s="279"/>
      <c r="Q346" s="134"/>
      <c r="S346" s="60"/>
      <c r="U346" s="27"/>
    </row>
    <row r="347" spans="2:21" s="21" customFormat="1" ht="18" customHeight="1" ns2:dyDescent="0.3">
      <c r="B347" s="143"/>
      <c r="C347" s="134"/>
      <c r="H347" s="60"/>
      <c r="K347" s="60"/>
      <c r="P347" s="279"/>
      <c r="Q347" s="134"/>
      <c r="S347" s="60"/>
      <c r="U347" s="27"/>
    </row>
    <row r="348" spans="2:21" s="21" customFormat="1" ht="18" customHeight="1" ns2:dyDescent="0.3">
      <c r="B348" s="143"/>
      <c r="C348" s="134"/>
      <c r="H348" s="60"/>
      <c r="K348" s="60"/>
      <c r="P348" s="279"/>
      <c r="Q348" s="134"/>
      <c r="S348" s="60"/>
      <c r="U348" s="27"/>
    </row>
    <row r="349" spans="2:21" s="21" customFormat="1" ht="18" customHeight="1" ns2:dyDescent="0.3">
      <c r="B349" s="143"/>
      <c r="C349" s="134"/>
      <c r="H349" s="60"/>
      <c r="K349" s="60"/>
      <c r="P349" s="279"/>
      <c r="Q349" s="134"/>
      <c r="S349" s="60"/>
      <c r="U349" s="27"/>
    </row>
    <row r="350" spans="2:21" s="21" customFormat="1" ht="18" customHeight="1" ns2:dyDescent="0.3">
      <c r="B350" s="143"/>
      <c r="C350" s="134"/>
      <c r="H350" s="60"/>
      <c r="K350" s="60"/>
      <c r="P350" s="279"/>
      <c r="Q350" s="134"/>
      <c r="S350" s="60"/>
      <c r="U350" s="27"/>
    </row>
    <row r="351" spans="2:21" s="21" customFormat="1" ht="18" customHeight="1" ns2:dyDescent="0.3">
      <c r="B351" s="143"/>
      <c r="C351" s="134"/>
      <c r="H351" s="60"/>
      <c r="K351" s="60"/>
      <c r="P351" s="279"/>
      <c r="Q351" s="134"/>
      <c r="S351" s="60"/>
      <c r="U351" s="27"/>
    </row>
    <row r="352" spans="2:21" s="21" customFormat="1" ht="18" customHeight="1" ns2:dyDescent="0.3">
      <c r="B352" s="143"/>
      <c r="C352" s="134"/>
      <c r="H352" s="60"/>
      <c r="K352" s="60"/>
      <c r="P352" s="279"/>
      <c r="Q352" s="134"/>
      <c r="S352" s="60"/>
      <c r="U352" s="27"/>
    </row>
    <row r="353" spans="2:21" s="21" customFormat="1" ht="18" customHeight="1" ns2:dyDescent="0.3">
      <c r="B353" s="143"/>
      <c r="C353" s="134"/>
      <c r="H353" s="60"/>
      <c r="K353" s="60"/>
      <c r="P353" s="279"/>
      <c r="Q353" s="134"/>
      <c r="S353" s="60"/>
      <c r="U353" s="27"/>
    </row>
    <row r="354" spans="2:21" s="21" customFormat="1" ht="18" customHeight="1" ns2:dyDescent="0.3">
      <c r="B354" s="143"/>
      <c r="C354" s="134"/>
      <c r="H354" s="60"/>
      <c r="K354" s="60"/>
      <c r="P354" s="279"/>
      <c r="Q354" s="134"/>
      <c r="S354" s="60"/>
      <c r="U354" s="27"/>
    </row>
    <row r="355" spans="2:21" s="21" customFormat="1" ht="18" customHeight="1" ns2:dyDescent="0.3">
      <c r="B355" s="143"/>
      <c r="C355" s="134"/>
      <c r="H355" s="60"/>
      <c r="K355" s="60"/>
      <c r="P355" s="279"/>
      <c r="Q355" s="134"/>
      <c r="S355" s="60"/>
      <c r="U355" s="27"/>
    </row>
    <row r="356" spans="2:21" s="21" customFormat="1" ht="18" customHeight="1" ns2:dyDescent="0.3">
      <c r="B356" s="143"/>
      <c r="C356" s="134"/>
      <c r="H356" s="60"/>
      <c r="K356" s="60"/>
      <c r="P356" s="279"/>
      <c r="Q356" s="134"/>
      <c r="S356" s="60"/>
      <c r="U356" s="27"/>
    </row>
    <row r="357" spans="2:21" s="21" customFormat="1" ht="18" customHeight="1" ns2:dyDescent="0.3">
      <c r="B357" s="143"/>
      <c r="C357" s="134"/>
      <c r="H357" s="60"/>
      <c r="K357" s="60"/>
      <c r="P357" s="279"/>
      <c r="Q357" s="134"/>
      <c r="S357" s="60"/>
      <c r="U357" s="27"/>
    </row>
    <row r="358" spans="2:21" s="21" customFormat="1" ht="18" customHeight="1" ns2:dyDescent="0.3">
      <c r="B358" s="143"/>
      <c r="C358" s="134"/>
      <c r="H358" s="60"/>
      <c r="K358" s="60"/>
      <c r="P358" s="279"/>
      <c r="Q358" s="134"/>
      <c r="S358" s="60"/>
      <c r="U358" s="27"/>
    </row>
    <row r="359" spans="2:21" s="21" customFormat="1" ht="18" customHeight="1" ns2:dyDescent="0.3">
      <c r="B359" s="143"/>
      <c r="C359" s="134"/>
      <c r="H359" s="60"/>
      <c r="K359" s="60"/>
      <c r="P359" s="279"/>
      <c r="Q359" s="134"/>
      <c r="S359" s="60"/>
      <c r="U359" s="27"/>
    </row>
    <row r="360" spans="2:21" s="21" customFormat="1" ht="18" customHeight="1" ns2:dyDescent="0.3">
      <c r="B360" s="143"/>
      <c r="C360" s="134"/>
      <c r="H360" s="60"/>
      <c r="K360" s="60"/>
      <c r="P360" s="279"/>
      <c r="Q360" s="134"/>
      <c r="S360" s="60"/>
      <c r="U360" s="27"/>
    </row>
    <row r="361" spans="2:21" s="21" customFormat="1" ht="18" customHeight="1" ns2:dyDescent="0.3">
      <c r="B361" s="143"/>
      <c r="C361" s="134"/>
      <c r="H361" s="60"/>
      <c r="K361" s="60"/>
      <c r="P361" s="279"/>
      <c r="Q361" s="134"/>
      <c r="S361" s="60"/>
      <c r="U361" s="27"/>
    </row>
    <row r="362" spans="2:21" s="21" customFormat="1" ht="18" customHeight="1" ns2:dyDescent="0.3">
      <c r="B362" s="143"/>
      <c r="C362" s="134"/>
      <c r="H362" s="60"/>
      <c r="K362" s="60"/>
      <c r="P362" s="279"/>
      <c r="Q362" s="134"/>
      <c r="S362" s="60"/>
      <c r="U362" s="27"/>
    </row>
    <row r="363" spans="2:21" s="21" customFormat="1" ht="18" customHeight="1" ns2:dyDescent="0.3">
      <c r="B363" s="143"/>
      <c r="C363" s="134"/>
      <c r="H363" s="60"/>
      <c r="K363" s="60"/>
      <c r="P363" s="279"/>
      <c r="Q363" s="134"/>
      <c r="S363" s="60"/>
      <c r="U363" s="27"/>
    </row>
    <row r="364" spans="2:21" s="21" customFormat="1" ht="18" customHeight="1" ns2:dyDescent="0.3">
      <c r="B364" s="143"/>
      <c r="C364" s="134"/>
      <c r="H364" s="60"/>
      <c r="K364" s="60"/>
      <c r="P364" s="279"/>
      <c r="Q364" s="134"/>
      <c r="S364" s="60"/>
      <c r="U364" s="27"/>
    </row>
    <row r="365" spans="2:21" s="21" customFormat="1" ht="18" customHeight="1" ns2:dyDescent="0.3">
      <c r="B365" s="143"/>
      <c r="C365" s="134"/>
      <c r="H365" s="60"/>
      <c r="K365" s="60"/>
      <c r="P365" s="279"/>
      <c r="Q365" s="134"/>
      <c r="S365" s="60"/>
      <c r="U365" s="27"/>
    </row>
    <row r="366" spans="2:21" s="21" customFormat="1" ht="18" customHeight="1" ns2:dyDescent="0.3">
      <c r="B366" s="143"/>
      <c r="C366" s="134"/>
      <c r="H366" s="60"/>
      <c r="K366" s="60"/>
      <c r="P366" s="279"/>
      <c r="Q366" s="134"/>
      <c r="S366" s="60"/>
      <c r="U366" s="27"/>
    </row>
    <row r="367" spans="2:21" s="21" customFormat="1" ht="18" customHeight="1" ns2:dyDescent="0.3">
      <c r="B367" s="143"/>
      <c r="C367" s="134"/>
      <c r="H367" s="60"/>
      <c r="K367" s="60"/>
      <c r="P367" s="279"/>
      <c r="Q367" s="134"/>
      <c r="S367" s="60"/>
      <c r="U367" s="27"/>
    </row>
    <row r="368" spans="2:21" s="21" customFormat="1" ht="18" customHeight="1" ns2:dyDescent="0.3">
      <c r="B368" s="143"/>
      <c r="C368" s="134"/>
      <c r="H368" s="60"/>
      <c r="K368" s="60"/>
      <c r="P368" s="279"/>
      <c r="Q368" s="134"/>
      <c r="S368" s="60"/>
      <c r="U368" s="27"/>
    </row>
    <row r="369" spans="2:21" s="21" customFormat="1" ht="18" customHeight="1" ns2:dyDescent="0.3">
      <c r="B369" s="143"/>
      <c r="C369" s="134"/>
      <c r="H369" s="60"/>
      <c r="K369" s="60"/>
      <c r="P369" s="279"/>
      <c r="Q369" s="134"/>
      <c r="S369" s="60"/>
      <c r="U369" s="27"/>
    </row>
    <row r="370" spans="2:21" s="21" customFormat="1" ht="18" customHeight="1" ns2:dyDescent="0.3">
      <c r="B370" s="143"/>
      <c r="C370" s="134"/>
      <c r="H370" s="60"/>
      <c r="K370" s="60"/>
      <c r="P370" s="279"/>
      <c r="Q370" s="134"/>
      <c r="S370" s="60"/>
      <c r="U370" s="27"/>
    </row>
    <row r="371" spans="2:21" s="21" customFormat="1" ht="18" customHeight="1" ns2:dyDescent="0.3">
      <c r="B371" s="143"/>
      <c r="C371" s="134"/>
      <c r="H371" s="60"/>
      <c r="K371" s="60"/>
      <c r="P371" s="279"/>
      <c r="Q371" s="134"/>
      <c r="S371" s="60"/>
      <c r="U371" s="27"/>
    </row>
    <row r="372" spans="2:21" s="21" customFormat="1" ht="18" customHeight="1" ns2:dyDescent="0.3">
      <c r="B372" s="143"/>
      <c r="C372" s="134"/>
      <c r="H372" s="60"/>
      <c r="K372" s="60"/>
      <c r="P372" s="279"/>
      <c r="Q372" s="134"/>
      <c r="S372" s="60"/>
      <c r="U372" s="27"/>
    </row>
    <row r="373" spans="2:21" s="21" customFormat="1" ht="18" customHeight="1" ns2:dyDescent="0.3">
      <c r="B373" s="143"/>
      <c r="C373" s="134"/>
      <c r="H373" s="60"/>
      <c r="K373" s="60"/>
      <c r="P373" s="279"/>
      <c r="Q373" s="134"/>
      <c r="S373" s="60"/>
      <c r="U373" s="27"/>
    </row>
    <row r="374" spans="2:21" s="21" customFormat="1" ht="18" customHeight="1" ns2:dyDescent="0.3">
      <c r="B374" s="143"/>
      <c r="C374" s="134"/>
      <c r="H374" s="60"/>
      <c r="K374" s="60"/>
      <c r="P374" s="279"/>
      <c r="Q374" s="134"/>
      <c r="S374" s="60"/>
      <c r="U374" s="27"/>
    </row>
    <row r="375" spans="2:21" s="21" customFormat="1" ht="18" customHeight="1" ns2:dyDescent="0.3">
      <c r="B375" s="143"/>
      <c r="C375" s="134"/>
      <c r="H375" s="60"/>
      <c r="K375" s="60"/>
      <c r="P375" s="279"/>
      <c r="Q375" s="134"/>
      <c r="S375" s="60"/>
      <c r="U375" s="27"/>
    </row>
    <row r="376" spans="2:21" s="21" customFormat="1" ht="18" customHeight="1" ns2:dyDescent="0.3">
      <c r="B376" s="143"/>
      <c r="C376" s="134"/>
      <c r="H376" s="60"/>
      <c r="K376" s="60"/>
      <c r="P376" s="279"/>
      <c r="Q376" s="134"/>
      <c r="S376" s="60"/>
      <c r="U376" s="27"/>
    </row>
    <row r="377" spans="2:21" s="21" customFormat="1" ht="18" customHeight="1" ns2:dyDescent="0.3">
      <c r="B377" s="143"/>
      <c r="C377" s="134"/>
      <c r="H377" s="60"/>
      <c r="K377" s="60"/>
      <c r="P377" s="279"/>
      <c r="Q377" s="134"/>
      <c r="S377" s="60"/>
      <c r="U377" s="27"/>
    </row>
    <row r="378" spans="2:21" s="21" customFormat="1" ht="18" customHeight="1" ns2:dyDescent="0.3">
      <c r="B378" s="143"/>
      <c r="C378" s="134"/>
      <c r="H378" s="60"/>
      <c r="K378" s="60"/>
      <c r="P378" s="279"/>
      <c r="Q378" s="134"/>
      <c r="S378" s="60"/>
      <c r="U378" s="27"/>
    </row>
    <row r="379" spans="2:21" s="21" customFormat="1" ht="18" customHeight="1" ns2:dyDescent="0.3">
      <c r="B379" s="143"/>
      <c r="C379" s="134"/>
      <c r="H379" s="60"/>
      <c r="K379" s="60"/>
      <c r="P379" s="279"/>
      <c r="Q379" s="134"/>
      <c r="S379" s="60"/>
      <c r="U379" s="27"/>
    </row>
    <row r="380" spans="2:21" s="21" customFormat="1" ht="18" customHeight="1" ns2:dyDescent="0.3">
      <c r="B380" s="143"/>
      <c r="C380" s="134"/>
      <c r="H380" s="60"/>
      <c r="K380" s="60"/>
      <c r="P380" s="279"/>
      <c r="Q380" s="134"/>
      <c r="S380" s="60"/>
      <c r="U380" s="27"/>
    </row>
    <row r="381" spans="2:21" s="21" customFormat="1" ht="18" customHeight="1" ns2:dyDescent="0.3">
      <c r="B381" s="143"/>
      <c r="C381" s="134"/>
      <c r="H381" s="60"/>
      <c r="K381" s="60"/>
      <c r="P381" s="279"/>
      <c r="Q381" s="134"/>
      <c r="S381" s="60"/>
      <c r="U381" s="27"/>
    </row>
    <row r="382" spans="2:21" s="21" customFormat="1" ht="18" customHeight="1" ns2:dyDescent="0.3">
      <c r="B382" s="143"/>
      <c r="C382" s="134"/>
      <c r="H382" s="60"/>
      <c r="K382" s="60"/>
      <c r="P382" s="279"/>
      <c r="Q382" s="134"/>
      <c r="S382" s="60"/>
      <c r="U382" s="27"/>
    </row>
    <row r="383" spans="2:21" s="21" customFormat="1" ht="18" customHeight="1" ns2:dyDescent="0.3">
      <c r="B383" s="143"/>
      <c r="C383" s="134"/>
      <c r="H383" s="60"/>
      <c r="K383" s="60"/>
      <c r="P383" s="279"/>
      <c r="Q383" s="134"/>
      <c r="S383" s="60"/>
      <c r="U383" s="27"/>
    </row>
    <row r="384" spans="2:21" s="21" customFormat="1" ht="18" customHeight="1" ns2:dyDescent="0.3">
      <c r="B384" s="143"/>
      <c r="C384" s="134"/>
      <c r="H384" s="60"/>
      <c r="K384" s="60"/>
      <c r="P384" s="279"/>
      <c r="Q384" s="134"/>
      <c r="S384" s="60"/>
      <c r="U384" s="27"/>
    </row>
    <row r="385" spans="2:21" s="21" customFormat="1" ht="18" customHeight="1" ns2:dyDescent="0.3">
      <c r="B385" s="143"/>
      <c r="C385" s="134"/>
      <c r="H385" s="60"/>
      <c r="K385" s="60"/>
      <c r="P385" s="279"/>
      <c r="Q385" s="134"/>
      <c r="S385" s="60"/>
      <c r="U385" s="27"/>
    </row>
    <row r="386" spans="2:21" s="21" customFormat="1" ht="18" customHeight="1" ns2:dyDescent="0.3">
      <c r="B386" s="143"/>
      <c r="C386" s="134"/>
      <c r="H386" s="60"/>
      <c r="K386" s="60"/>
      <c r="P386" s="279"/>
      <c r="Q386" s="134"/>
      <c r="S386" s="60"/>
      <c r="U386" s="27"/>
    </row>
    <row r="387" spans="2:21" s="21" customFormat="1" ht="18" customHeight="1" ns2:dyDescent="0.3">
      <c r="B387" s="143"/>
      <c r="C387" s="134"/>
      <c r="H387" s="60"/>
      <c r="K387" s="60"/>
      <c r="P387" s="279"/>
      <c r="Q387" s="134"/>
      <c r="S387" s="60"/>
      <c r="U387" s="27"/>
    </row>
    <row r="388" spans="2:21" s="21" customFormat="1" ht="18" customHeight="1" ns2:dyDescent="0.3">
      <c r="B388" s="143"/>
      <c r="C388" s="134"/>
      <c r="H388" s="60"/>
      <c r="K388" s="60"/>
      <c r="P388" s="279"/>
      <c r="Q388" s="134"/>
      <c r="S388" s="60"/>
      <c r="U388" s="27"/>
    </row>
    <row r="389" spans="2:21" s="21" customFormat="1" ht="18" customHeight="1" ns2:dyDescent="0.3">
      <c r="B389" s="143"/>
      <c r="C389" s="134"/>
      <c r="H389" s="60"/>
      <c r="K389" s="60"/>
      <c r="P389" s="279"/>
      <c r="Q389" s="134"/>
      <c r="S389" s="60"/>
      <c r="U389" s="27"/>
    </row>
    <row r="390" spans="2:21" s="21" customFormat="1" ht="18" customHeight="1" ns2:dyDescent="0.3">
      <c r="B390" s="143"/>
      <c r="C390" s="134"/>
      <c r="H390" s="60"/>
      <c r="K390" s="60"/>
      <c r="P390" s="279"/>
      <c r="Q390" s="134"/>
      <c r="S390" s="60"/>
      <c r="U390" s="27"/>
    </row>
    <row r="391" spans="2:21" s="21" customFormat="1" ht="18" customHeight="1" ns2:dyDescent="0.3">
      <c r="B391" s="143"/>
      <c r="C391" s="134"/>
      <c r="H391" s="60"/>
      <c r="K391" s="60"/>
      <c r="P391" s="279"/>
      <c r="Q391" s="134"/>
      <c r="S391" s="60"/>
      <c r="U391" s="27"/>
    </row>
    <row r="392" spans="2:21" s="21" customFormat="1" ht="18" customHeight="1" ns2:dyDescent="0.3">
      <c r="B392" s="143"/>
      <c r="C392" s="134"/>
      <c r="H392" s="60"/>
      <c r="K392" s="60"/>
      <c r="P392" s="279"/>
      <c r="Q392" s="134"/>
      <c r="S392" s="60"/>
      <c r="U392" s="27"/>
    </row>
    <row r="393" spans="2:21" s="21" customFormat="1" ht="18" customHeight="1" ns2:dyDescent="0.3">
      <c r="B393" s="143"/>
      <c r="C393" s="134"/>
      <c r="H393" s="60"/>
      <c r="K393" s="60"/>
      <c r="P393" s="279"/>
      <c r="Q393" s="134"/>
      <c r="S393" s="60"/>
      <c r="U393" s="27"/>
    </row>
    <row r="394" spans="2:21" s="21" customFormat="1" ht="18" customHeight="1" ns2:dyDescent="0.3">
      <c r="B394" s="143"/>
      <c r="C394" s="134"/>
      <c r="H394" s="60"/>
      <c r="K394" s="60"/>
      <c r="P394" s="279"/>
      <c r="Q394" s="134"/>
      <c r="S394" s="60"/>
      <c r="U394" s="27"/>
    </row>
    <row r="395" spans="2:21" s="21" customFormat="1" ht="18" customHeight="1" ns2:dyDescent="0.3">
      <c r="B395" s="143"/>
      <c r="C395" s="134"/>
      <c r="H395" s="60"/>
      <c r="K395" s="60"/>
      <c r="P395" s="279"/>
      <c r="Q395" s="134"/>
      <c r="S395" s="60"/>
      <c r="U395" s="27"/>
    </row>
    <row r="396" spans="2:21" s="21" customFormat="1" ht="18" customHeight="1" ns2:dyDescent="0.3">
      <c r="B396" s="143"/>
      <c r="C396" s="134"/>
      <c r="H396" s="60"/>
      <c r="K396" s="60"/>
      <c r="P396" s="279"/>
      <c r="Q396" s="134"/>
      <c r="S396" s="60"/>
      <c r="U396" s="27"/>
    </row>
    <row r="397" spans="2:21" s="21" customFormat="1" ht="18" customHeight="1" ns2:dyDescent="0.3">
      <c r="B397" s="143"/>
      <c r="C397" s="134"/>
      <c r="H397" s="60"/>
      <c r="K397" s="60"/>
      <c r="P397" s="279"/>
      <c r="Q397" s="134"/>
      <c r="S397" s="60"/>
      <c r="U397" s="27"/>
    </row>
    <row r="398" spans="2:21" s="21" customFormat="1" ht="18" customHeight="1" ns2:dyDescent="0.3">
      <c r="B398" s="143"/>
      <c r="C398" s="134"/>
      <c r="H398" s="60"/>
      <c r="K398" s="60"/>
      <c r="P398" s="279"/>
      <c r="Q398" s="134"/>
      <c r="S398" s="60"/>
      <c r="U398" s="27"/>
    </row>
    <row r="399" spans="2:21" s="21" customFormat="1" ht="18" customHeight="1" ns2:dyDescent="0.3">
      <c r="B399" s="143"/>
      <c r="C399" s="134"/>
      <c r="H399" s="60"/>
      <c r="K399" s="60"/>
      <c r="P399" s="279"/>
      <c r="Q399" s="134"/>
      <c r="S399" s="60"/>
      <c r="U399" s="27"/>
    </row>
    <row r="400" spans="2:21" s="21" customFormat="1" ht="18" customHeight="1" ns2:dyDescent="0.3">
      <c r="B400" s="143"/>
      <c r="C400" s="134"/>
      <c r="H400" s="60"/>
      <c r="P400" s="279"/>
      <c r="Q400" s="134"/>
      <c r="S400" s="60"/>
      <c r="U400" s="27"/>
    </row>
    <row r="401" spans="2:21" s="21" customFormat="1" ht="18" customHeight="1" ns2:dyDescent="0.3">
      <c r="B401" s="143"/>
      <c r="C401" s="134"/>
      <c r="H401" s="60"/>
      <c r="P401" s="279"/>
      <c r="Q401" s="134"/>
      <c r="S401" s="60"/>
      <c r="U401" s="27"/>
    </row>
    <row r="402" spans="2:21" s="21" customFormat="1" ht="18" customHeight="1" ns2:dyDescent="0.3">
      <c r="B402" s="143"/>
      <c r="C402" s="134"/>
      <c r="H402" s="60"/>
      <c r="P402" s="279"/>
      <c r="Q402" s="134"/>
      <c r="S402" s="60"/>
      <c r="U402" s="27"/>
    </row>
    <row r="403" spans="2:21" s="21" customFormat="1" ht="18" customHeight="1" ns2:dyDescent="0.3">
      <c r="B403" s="143"/>
      <c r="C403" s="134"/>
      <c r="H403" s="60"/>
      <c r="P403" s="279"/>
      <c r="Q403" s="134"/>
      <c r="S403" s="60"/>
      <c r="U403" s="27"/>
    </row>
    <row r="404" spans="2:21" s="21" customFormat="1" ht="18" customHeight="1" ns2:dyDescent="0.3">
      <c r="B404" s="143"/>
      <c r="C404" s="134"/>
      <c r="H404" s="60"/>
      <c r="P404" s="279"/>
      <c r="Q404" s="134"/>
      <c r="S404" s="60"/>
      <c r="U404" s="27"/>
    </row>
    <row r="405" spans="2:21" s="21" customFormat="1" ht="18" customHeight="1" ns2:dyDescent="0.3">
      <c r="B405" s="143"/>
      <c r="C405" s="134"/>
      <c r="H405" s="60"/>
      <c r="P405" s="279"/>
      <c r="Q405" s="134"/>
      <c r="S405" s="60"/>
      <c r="U405" s="27"/>
    </row>
    <row r="406" spans="2:21" s="21" customFormat="1" ht="18" customHeight="1" ns2:dyDescent="0.3">
      <c r="B406" s="143"/>
      <c r="C406" s="134"/>
      <c r="H406" s="60"/>
      <c r="P406" s="279"/>
      <c r="Q406" s="134"/>
      <c r="S406" s="60"/>
      <c r="U406" s="27"/>
    </row>
    <row r="407" spans="2:21" s="21" customFormat="1" ht="18" customHeight="1" ns2:dyDescent="0.3">
      <c r="B407" s="143"/>
      <c r="C407" s="134"/>
      <c r="H407" s="60"/>
      <c r="P407" s="279"/>
      <c r="Q407" s="134"/>
      <c r="S407" s="60"/>
      <c r="U407" s="27"/>
    </row>
    <row r="408" spans="2:21" s="21" customFormat="1" ht="18" customHeight="1" ns2:dyDescent="0.3">
      <c r="B408" s="143"/>
      <c r="C408" s="134"/>
      <c r="H408" s="60"/>
      <c r="P408" s="279"/>
      <c r="Q408" s="134"/>
      <c r="S408" s="60"/>
      <c r="U408" s="27"/>
    </row>
    <row r="409" spans="2:21" s="21" customFormat="1" ht="18" customHeight="1" ns2:dyDescent="0.3">
      <c r="B409" s="143"/>
      <c r="C409" s="134"/>
      <c r="H409" s="60"/>
      <c r="P409" s="279"/>
      <c r="Q409" s="134"/>
      <c r="S409" s="60"/>
      <c r="U409" s="27"/>
    </row>
    <row r="410" spans="2:21" s="21" customFormat="1" ht="18" customHeight="1" ns2:dyDescent="0.3">
      <c r="B410" s="143"/>
      <c r="C410" s="134"/>
      <c r="H410" s="60"/>
      <c r="P410" s="279"/>
      <c r="Q410" s="134"/>
      <c r="S410" s="60"/>
      <c r="U410" s="27"/>
    </row>
    <row r="411" spans="2:21" s="21" customFormat="1" ht="18" customHeight="1" ns2:dyDescent="0.3">
      <c r="B411" s="143"/>
      <c r="C411" s="134"/>
      <c r="H411" s="60"/>
      <c r="P411" s="279"/>
      <c r="Q411" s="134"/>
      <c r="S411" s="60"/>
      <c r="U411" s="27"/>
    </row>
    <row r="412" spans="2:21" s="21" customFormat="1" ht="18" customHeight="1" ns2:dyDescent="0.3">
      <c r="B412" s="143"/>
      <c r="C412" s="134"/>
      <c r="H412" s="60"/>
      <c r="P412" s="279"/>
      <c r="Q412" s="134"/>
      <c r="S412" s="60"/>
      <c r="U412" s="27"/>
    </row>
    <row r="413" spans="2:21" s="21" customFormat="1" ht="18" customHeight="1" ns2:dyDescent="0.3">
      <c r="B413" s="143"/>
      <c r="C413" s="134"/>
      <c r="H413" s="60"/>
      <c r="P413" s="279"/>
      <c r="Q413" s="134"/>
      <c r="S413" s="60"/>
      <c r="U413" s="27"/>
    </row>
    <row r="414" spans="2:21" s="21" customFormat="1" ht="18" customHeight="1" ns2:dyDescent="0.3">
      <c r="B414" s="143"/>
      <c r="C414" s="134"/>
      <c r="H414" s="60"/>
      <c r="P414" s="279"/>
      <c r="Q414" s="134"/>
      <c r="S414" s="60"/>
      <c r="U414" s="27"/>
    </row>
    <row r="415" spans="2:21" s="21" customFormat="1" ht="18" customHeight="1" ns2:dyDescent="0.3">
      <c r="B415" s="143"/>
      <c r="C415" s="134"/>
      <c r="H415" s="60"/>
      <c r="P415" s="279"/>
      <c r="Q415" s="134"/>
      <c r="S415" s="60"/>
      <c r="U415" s="27"/>
    </row>
    <row r="416" spans="2:21" s="21" customFormat="1" ht="18" customHeight="1" ns2:dyDescent="0.3">
      <c r="B416" s="143"/>
      <c r="C416" s="134"/>
      <c r="H416" s="60"/>
      <c r="P416" s="279"/>
      <c r="Q416" s="134"/>
      <c r="S416" s="60"/>
      <c r="U416" s="27"/>
    </row>
    <row r="417" spans="2:21" s="21" customFormat="1" ht="18" customHeight="1" ns2:dyDescent="0.3">
      <c r="B417" s="143"/>
      <c r="C417" s="134"/>
      <c r="H417" s="60"/>
      <c r="P417" s="279"/>
      <c r="Q417" s="134"/>
      <c r="S417" s="60"/>
      <c r="U417" s="27"/>
    </row>
    <row r="418" spans="2:21" s="21" customFormat="1" ht="18" customHeight="1" ns2:dyDescent="0.3">
      <c r="B418" s="143"/>
      <c r="C418" s="134"/>
      <c r="H418" s="60"/>
      <c r="P418" s="279"/>
      <c r="Q418" s="134"/>
      <c r="S418" s="60"/>
      <c r="U418" s="27"/>
    </row>
    <row r="419" spans="2:21" s="21" customFormat="1" ht="18" customHeight="1" ns2:dyDescent="0.3">
      <c r="B419" s="143"/>
      <c r="C419" s="134"/>
      <c r="H419" s="60"/>
      <c r="P419" s="279"/>
      <c r="Q419" s="134"/>
      <c r="S419" s="60"/>
      <c r="U419" s="27"/>
    </row>
    <row r="420" spans="2:21" s="21" customFormat="1" ht="18" customHeight="1" ns2:dyDescent="0.3">
      <c r="B420" s="143"/>
      <c r="C420" s="134"/>
      <c r="H420" s="60"/>
      <c r="P420" s="279"/>
      <c r="Q420" s="134"/>
      <c r="S420" s="60"/>
      <c r="U420" s="27"/>
    </row>
    <row r="421" spans="2:21" s="21" customFormat="1" ht="18" customHeight="1" ns2:dyDescent="0.3">
      <c r="B421" s="143"/>
      <c r="C421" s="134"/>
      <c r="H421" s="60"/>
      <c r="P421" s="279"/>
      <c r="Q421" s="134"/>
      <c r="S421" s="60"/>
      <c r="U421" s="27"/>
    </row>
    <row r="422" spans="2:21" s="21" customFormat="1" ht="18" customHeight="1" ns2:dyDescent="0.3">
      <c r="B422" s="143"/>
      <c r="C422" s="134"/>
      <c r="H422" s="60"/>
      <c r="P422" s="279"/>
      <c r="Q422" s="134"/>
      <c r="S422" s="60"/>
      <c r="U422" s="27"/>
    </row>
    <row r="423" spans="2:21" s="21" customFormat="1" ht="18" customHeight="1" ns2:dyDescent="0.3">
      <c r="B423" s="143"/>
      <c r="C423" s="134"/>
      <c r="H423" s="60"/>
      <c r="P423" s="279"/>
      <c r="Q423" s="134"/>
      <c r="S423" s="60"/>
      <c r="U423" s="27"/>
    </row>
    <row r="424" spans="2:21" s="21" customFormat="1" ht="18" customHeight="1" ns2:dyDescent="0.3">
      <c r="B424" s="143"/>
      <c r="C424" s="134"/>
      <c r="H424" s="60"/>
      <c r="P424" s="279"/>
      <c r="Q424" s="134"/>
      <c r="S424" s="60"/>
      <c r="U424" s="27"/>
    </row>
    <row r="425" spans="2:21" s="21" customFormat="1" ht="18" customHeight="1" ns2:dyDescent="0.3">
      <c r="B425" s="143"/>
      <c r="C425" s="134"/>
      <c r="H425" s="60"/>
      <c r="P425" s="279"/>
      <c r="Q425" s="134"/>
      <c r="S425" s="60"/>
      <c r="U425" s="27"/>
    </row>
    <row r="426" spans="2:21" s="21" customFormat="1" ht="18" customHeight="1" ns2:dyDescent="0.3">
      <c r="B426" s="143"/>
      <c r="C426" s="134"/>
      <c r="H426" s="60"/>
      <c r="P426" s="279"/>
      <c r="Q426" s="134"/>
      <c r="S426" s="60"/>
      <c r="U426" s="27"/>
    </row>
    <row r="427" spans="2:21" s="21" customFormat="1" ht="18" customHeight="1" ns2:dyDescent="0.3">
      <c r="B427" s="143"/>
      <c r="C427" s="134"/>
      <c r="H427" s="60"/>
      <c r="P427" s="279"/>
      <c r="Q427" s="134"/>
      <c r="S427" s="60"/>
      <c r="U427" s="27"/>
    </row>
    <row r="428" spans="2:21" s="21" customFormat="1" ht="18" customHeight="1" ns2:dyDescent="0.3">
      <c r="B428" s="143"/>
      <c r="C428" s="134"/>
      <c r="H428" s="60"/>
      <c r="P428" s="279"/>
      <c r="Q428" s="134"/>
      <c r="S428" s="60"/>
      <c r="U428" s="27"/>
    </row>
    <row r="429" spans="2:21" s="21" customFormat="1" ht="18" customHeight="1" ns2:dyDescent="0.3">
      <c r="B429" s="143"/>
      <c r="C429" s="134"/>
      <c r="H429" s="60"/>
      <c r="P429" s="279"/>
      <c r="Q429" s="134"/>
      <c r="S429" s="60"/>
      <c r="U429" s="27"/>
    </row>
    <row r="430" spans="2:21" s="21" customFormat="1" ht="18" customHeight="1" ns2:dyDescent="0.3">
      <c r="B430" s="143"/>
      <c r="C430" s="134"/>
      <c r="H430" s="60"/>
      <c r="P430" s="279"/>
      <c r="Q430" s="134"/>
      <c r="S430" s="60"/>
      <c r="U430" s="27"/>
    </row>
    <row r="431" spans="2:21" s="21" customFormat="1" ht="18" customHeight="1" ns2:dyDescent="0.3">
      <c r="B431" s="143"/>
      <c r="C431" s="134"/>
      <c r="H431" s="60"/>
      <c r="P431" s="279"/>
      <c r="Q431" s="134"/>
      <c r="S431" s="60"/>
      <c r="U431" s="27"/>
    </row>
    <row r="432" spans="2:21" s="21" customFormat="1" ht="18" customHeight="1" ns2:dyDescent="0.3">
      <c r="B432" s="143"/>
      <c r="C432" s="134"/>
      <c r="H432" s="60"/>
      <c r="P432" s="279"/>
      <c r="Q432" s="134"/>
      <c r="S432" s="60"/>
      <c r="U432" s="27"/>
    </row>
    <row r="433" spans="2:21" s="21" customFormat="1" ht="18" customHeight="1" ns2:dyDescent="0.3">
      <c r="B433" s="143"/>
      <c r="C433" s="134"/>
      <c r="H433" s="60"/>
      <c r="P433" s="279"/>
      <c r="Q433" s="134"/>
      <c r="S433" s="60"/>
      <c r="U433" s="27"/>
    </row>
    <row r="434" spans="2:21" s="21" customFormat="1" ht="18" customHeight="1" ns2:dyDescent="0.3">
      <c r="B434" s="143"/>
      <c r="C434" s="134"/>
      <c r="H434" s="60"/>
      <c r="P434" s="279"/>
      <c r="Q434" s="134"/>
      <c r="S434" s="60"/>
      <c r="U434" s="27"/>
    </row>
    <row r="435" spans="2:21" s="21" customFormat="1" ht="18" customHeight="1" ns2:dyDescent="0.3">
      <c r="B435" s="143"/>
      <c r="C435" s="134"/>
      <c r="H435" s="60"/>
      <c r="P435" s="279"/>
      <c r="Q435" s="134"/>
      <c r="S435" s="60"/>
      <c r="U435" s="27"/>
    </row>
    <row r="436" spans="2:21" s="21" customFormat="1" ht="18" customHeight="1" ns2:dyDescent="0.3">
      <c r="B436" s="143"/>
      <c r="C436" s="134"/>
      <c r="H436" s="60"/>
      <c r="P436" s="279"/>
      <c r="Q436" s="134"/>
      <c r="S436" s="60"/>
      <c r="U436" s="27"/>
    </row>
    <row r="437" spans="2:21" s="21" customFormat="1" ht="18" customHeight="1" ns2:dyDescent="0.3">
      <c r="B437" s="143"/>
      <c r="C437" s="134"/>
      <c r="H437" s="60"/>
      <c r="P437" s="279"/>
      <c r="Q437" s="134"/>
      <c r="S437" s="60"/>
      <c r="U437" s="27"/>
    </row>
    <row r="438" spans="2:21" s="21" customFormat="1" ht="18" customHeight="1" ns2:dyDescent="0.3">
      <c r="B438" s="143"/>
      <c r="C438" s="134"/>
      <c r="H438" s="60"/>
      <c r="P438" s="279"/>
      <c r="Q438" s="134"/>
      <c r="S438" s="60"/>
      <c r="U438" s="27"/>
    </row>
    <row r="439" spans="2:21" s="21" customFormat="1" ht="18" customHeight="1" ns2:dyDescent="0.3">
      <c r="B439" s="143"/>
      <c r="C439" s="134"/>
      <c r="H439" s="60"/>
      <c r="P439" s="279"/>
      <c r="Q439" s="134"/>
      <c r="S439" s="60"/>
      <c r="U439" s="27"/>
    </row>
    <row r="440" spans="2:21" s="21" customFormat="1" ht="18" customHeight="1" ns2:dyDescent="0.3">
      <c r="B440" s="143"/>
      <c r="C440" s="134"/>
      <c r="H440" s="60"/>
      <c r="P440" s="279"/>
      <c r="Q440" s="134"/>
      <c r="S440" s="60"/>
      <c r="U440" s="27"/>
    </row>
    <row r="441" spans="2:21" s="21" customFormat="1" ht="18" customHeight="1" ns2:dyDescent="0.3">
      <c r="B441" s="143"/>
      <c r="C441" s="134"/>
      <c r="H441" s="60"/>
      <c r="P441" s="279"/>
      <c r="Q441" s="134"/>
      <c r="S441" s="60"/>
      <c r="U441" s="27"/>
    </row>
    <row r="442" spans="2:21" s="21" customFormat="1" ht="18" customHeight="1" ns2:dyDescent="0.3">
      <c r="B442" s="143"/>
      <c r="C442" s="134"/>
      <c r="H442" s="60"/>
      <c r="P442" s="279"/>
      <c r="Q442" s="134"/>
      <c r="S442" s="60"/>
      <c r="U442" s="27"/>
    </row>
    <row r="443" spans="2:21" s="21" customFormat="1" ht="18" customHeight="1" ns2:dyDescent="0.3">
      <c r="B443" s="143"/>
      <c r="C443" s="134"/>
      <c r="H443" s="60"/>
      <c r="P443" s="279"/>
      <c r="Q443" s="134"/>
      <c r="S443" s="60"/>
      <c r="U443" s="27"/>
    </row>
    <row r="444" spans="2:21" s="21" customFormat="1" ht="18" customHeight="1" ns2:dyDescent="0.3">
      <c r="B444" s="143"/>
      <c r="C444" s="134"/>
      <c r="H444" s="60"/>
      <c r="P444" s="279"/>
      <c r="Q444" s="134"/>
      <c r="S444" s="60"/>
      <c r="U444" s="27"/>
    </row>
    <row r="445" spans="2:21" s="21" customFormat="1" ht="18" customHeight="1" ns2:dyDescent="0.3">
      <c r="B445" s="143"/>
      <c r="C445" s="134"/>
      <c r="H445" s="60"/>
      <c r="P445" s="279"/>
      <c r="Q445" s="134"/>
      <c r="S445" s="60"/>
      <c r="U445" s="27"/>
    </row>
    <row r="446" spans="2:21" s="21" customFormat="1" ht="18" customHeight="1" ns2:dyDescent="0.3">
      <c r="B446" s="143"/>
      <c r="C446" s="134"/>
      <c r="H446" s="60"/>
      <c r="P446" s="279"/>
      <c r="Q446" s="134"/>
      <c r="S446" s="60"/>
      <c r="U446" s="27"/>
    </row>
    <row r="447" spans="2:21" s="21" customFormat="1" ht="18" customHeight="1" ns2:dyDescent="0.3">
      <c r="B447" s="143"/>
      <c r="C447" s="134"/>
      <c r="H447" s="60"/>
      <c r="P447" s="279"/>
      <c r="Q447" s="134"/>
      <c r="S447" s="60"/>
      <c r="U447" s="27"/>
    </row>
    <row r="448" spans="2:21" s="21" customFormat="1" ht="18" customHeight="1" ns2:dyDescent="0.3">
      <c r="B448" s="143"/>
      <c r="C448" s="134"/>
      <c r="H448" s="60"/>
      <c r="P448" s="279"/>
      <c r="Q448" s="134"/>
      <c r="S448" s="60"/>
      <c r="U448" s="27"/>
    </row>
    <row r="449" spans="2:21" s="21" customFormat="1" ht="18" customHeight="1" ns2:dyDescent="0.3">
      <c r="B449" s="143"/>
      <c r="C449" s="134"/>
      <c r="H449" s="60"/>
      <c r="P449" s="279"/>
      <c r="Q449" s="134"/>
      <c r="S449" s="60"/>
      <c r="U449" s="27"/>
    </row>
    <row r="450" spans="2:21" s="21" customFormat="1" ht="18" customHeight="1" ns2:dyDescent="0.3">
      <c r="B450" s="143"/>
      <c r="C450" s="134"/>
      <c r="H450" s="60"/>
      <c r="P450" s="279"/>
      <c r="Q450" s="134"/>
      <c r="S450" s="60"/>
      <c r="U450" s="27"/>
    </row>
    <row r="451" spans="2:21" s="21" customFormat="1" ht="18" customHeight="1" ns2:dyDescent="0.3">
      <c r="B451" s="143"/>
      <c r="C451" s="134"/>
      <c r="H451" s="60"/>
      <c r="P451" s="279"/>
      <c r="Q451" s="134"/>
      <c r="S451" s="60"/>
      <c r="U451" s="27"/>
    </row>
    <row r="452" spans="2:21" s="21" customFormat="1" ht="18" customHeight="1" ns2:dyDescent="0.3">
      <c r="B452" s="143"/>
      <c r="C452" s="134"/>
      <c r="H452" s="60"/>
      <c r="P452" s="279"/>
      <c r="Q452" s="134"/>
      <c r="S452" s="60"/>
      <c r="U452" s="27"/>
    </row>
    <row r="453" spans="2:21" s="21" customFormat="1" ht="18" customHeight="1" ns2:dyDescent="0.3">
      <c r="B453" s="143"/>
      <c r="C453" s="134"/>
      <c r="H453" s="60"/>
      <c r="P453" s="279"/>
      <c r="Q453" s="134"/>
      <c r="S453" s="60"/>
      <c r="U453" s="27"/>
    </row>
    <row r="454" spans="2:21" s="21" customFormat="1" ht="18" customHeight="1" ns2:dyDescent="0.3">
      <c r="B454" s="143"/>
      <c r="C454" s="134"/>
      <c r="H454" s="60"/>
      <c r="P454" s="279"/>
      <c r="Q454" s="134"/>
      <c r="S454" s="60"/>
      <c r="U454" s="27"/>
    </row>
    <row r="455" spans="2:21" s="21" customFormat="1" ht="18" customHeight="1" ns2:dyDescent="0.3">
      <c r="B455" s="143"/>
      <c r="C455" s="134"/>
      <c r="H455" s="60"/>
      <c r="P455" s="279"/>
      <c r="Q455" s="134"/>
      <c r="S455" s="60"/>
      <c r="U455" s="27"/>
    </row>
    <row r="456" spans="2:21" s="21" customFormat="1" ht="18" customHeight="1" ns2:dyDescent="0.3">
      <c r="B456" s="143"/>
      <c r="C456" s="134"/>
      <c r="H456" s="60"/>
      <c r="P456" s="279"/>
      <c r="Q456" s="134"/>
      <c r="S456" s="60"/>
      <c r="U456" s="27"/>
    </row>
    <row r="457" spans="2:21" s="21" customFormat="1" ht="18" customHeight="1" ns2:dyDescent="0.3">
      <c r="B457" s="143"/>
      <c r="C457" s="134"/>
      <c r="H457" s="60"/>
      <c r="P457" s="279"/>
      <c r="Q457" s="134"/>
      <c r="S457" s="60"/>
      <c r="U457" s="27"/>
    </row>
    <row r="458" spans="2:21" s="21" customFormat="1" ht="18" customHeight="1" ns2:dyDescent="0.3">
      <c r="B458" s="143"/>
      <c r="C458" s="134"/>
      <c r="H458" s="60"/>
      <c r="P458" s="279"/>
      <c r="Q458" s="134"/>
      <c r="S458" s="60"/>
      <c r="U458" s="27"/>
    </row>
    <row r="459" spans="2:21" s="21" customFormat="1" ht="18" customHeight="1" ns2:dyDescent="0.3">
      <c r="B459" s="143"/>
      <c r="C459" s="134"/>
      <c r="H459" s="60"/>
      <c r="P459" s="279"/>
      <c r="Q459" s="134"/>
      <c r="S459" s="60"/>
      <c r="U459" s="27"/>
    </row>
    <row r="460" spans="2:21" s="21" customFormat="1" ht="18" customHeight="1" ns2:dyDescent="0.3">
      <c r="B460" s="143"/>
      <c r="C460" s="134"/>
      <c r="H460" s="60"/>
      <c r="P460" s="279"/>
      <c r="Q460" s="134"/>
      <c r="S460" s="60"/>
      <c r="U460" s="27"/>
    </row>
    <row r="461" spans="2:21" s="21" customFormat="1" ht="18" customHeight="1" ns2:dyDescent="0.3">
      <c r="B461" s="143"/>
      <c r="C461" s="134"/>
      <c r="H461" s="60"/>
      <c r="P461" s="279"/>
      <c r="Q461" s="134"/>
      <c r="S461" s="60"/>
      <c r="U461" s="27"/>
    </row>
    <row r="462" spans="2:21" s="21" customFormat="1" ht="18" customHeight="1" ns2:dyDescent="0.3">
      <c r="B462" s="143"/>
      <c r="C462" s="134"/>
      <c r="H462" s="60"/>
      <c r="P462" s="279"/>
      <c r="Q462" s="134"/>
      <c r="S462" s="60"/>
      <c r="U462" s="27"/>
    </row>
    <row r="463" spans="2:21" s="21" customFormat="1" ht="18" customHeight="1" ns2:dyDescent="0.3">
      <c r="B463" s="143"/>
      <c r="C463" s="134"/>
      <c r="H463" s="60"/>
      <c r="P463" s="279"/>
      <c r="Q463" s="134"/>
      <c r="S463" s="60"/>
      <c r="U463" s="27"/>
    </row>
    <row r="464" spans="2:21" s="21" customFormat="1" ht="18" customHeight="1" ns2:dyDescent="0.3">
      <c r="B464" s="143"/>
      <c r="C464" s="134"/>
      <c r="H464" s="60"/>
      <c r="P464" s="279"/>
      <c r="Q464" s="134"/>
      <c r="S464" s="60"/>
      <c r="U464" s="27"/>
    </row>
    <row r="465" spans="2:21" s="21" customFormat="1" ht="18" customHeight="1" ns2:dyDescent="0.3">
      <c r="B465" s="143"/>
      <c r="C465" s="134"/>
      <c r="H465" s="60"/>
      <c r="P465" s="279"/>
      <c r="Q465" s="134"/>
      <c r="S465" s="60"/>
      <c r="U465" s="27"/>
    </row>
    <row r="466" spans="2:21" s="21" customFormat="1" ht="18" customHeight="1" ns2:dyDescent="0.3">
      <c r="B466" s="143"/>
      <c r="C466" s="134"/>
      <c r="H466" s="60"/>
      <c r="P466" s="279"/>
      <c r="Q466" s="134"/>
      <c r="S466" s="60"/>
      <c r="U466" s="27"/>
    </row>
    <row r="467" spans="2:21" s="21" customFormat="1" ht="18" customHeight="1" ns2:dyDescent="0.3">
      <c r="B467" s="143"/>
      <c r="C467" s="134"/>
      <c r="H467" s="60"/>
      <c r="P467" s="279"/>
      <c r="Q467" s="134"/>
      <c r="S467" s="60"/>
      <c r="U467" s="27"/>
    </row>
    <row r="468" spans="2:21" s="21" customFormat="1" ht="18" customHeight="1" ns2:dyDescent="0.3">
      <c r="B468" s="143"/>
      <c r="C468" s="134"/>
      <c r="H468" s="60"/>
      <c r="P468" s="279"/>
      <c r="Q468" s="134"/>
      <c r="S468" s="60"/>
      <c r="U468" s="27"/>
    </row>
    <row r="469" spans="2:21" s="21" customFormat="1" ht="18" customHeight="1" ns2:dyDescent="0.3">
      <c r="B469" s="143"/>
      <c r="C469" s="134"/>
      <c r="H469" s="60"/>
      <c r="P469" s="279"/>
      <c r="Q469" s="134"/>
      <c r="S469" s="60"/>
      <c r="U469" s="27"/>
    </row>
    <row r="470" spans="2:21" s="21" customFormat="1" ht="18" customHeight="1" ns2:dyDescent="0.3">
      <c r="B470" s="143"/>
      <c r="C470" s="134"/>
      <c r="H470" s="60"/>
      <c r="P470" s="279"/>
      <c r="Q470" s="134"/>
      <c r="S470" s="60"/>
      <c r="U470" s="27"/>
    </row>
    <row r="471" spans="2:21" s="21" customFormat="1" ht="18" customHeight="1" ns2:dyDescent="0.3">
      <c r="B471" s="143"/>
      <c r="C471" s="134"/>
      <c r="H471" s="60"/>
      <c r="P471" s="279"/>
      <c r="Q471" s="134"/>
      <c r="S471" s="60"/>
      <c r="U471" s="27"/>
    </row>
    <row r="472" spans="2:21" s="21" customFormat="1" ht="18" customHeight="1" ns2:dyDescent="0.3">
      <c r="B472" s="143"/>
      <c r="C472" s="134"/>
      <c r="H472" s="60"/>
      <c r="P472" s="279"/>
      <c r="Q472" s="134"/>
      <c r="S472" s="60"/>
      <c r="U472" s="27"/>
    </row>
    <row r="473" spans="2:21" s="21" customFormat="1" ht="18" customHeight="1" ns2:dyDescent="0.3">
      <c r="B473" s="143"/>
      <c r="C473" s="134"/>
      <c r="H473" s="60"/>
      <c r="P473" s="279"/>
      <c r="Q473" s="134"/>
      <c r="S473" s="60"/>
      <c r="U473" s="27"/>
    </row>
    <row r="474" spans="2:21" s="21" customFormat="1" ht="18" customHeight="1" ns2:dyDescent="0.3">
      <c r="B474" s="143"/>
      <c r="C474" s="134"/>
      <c r="H474" s="60"/>
      <c r="P474" s="279"/>
      <c r="Q474" s="134"/>
      <c r="S474" s="60"/>
      <c r="U474" s="27"/>
    </row>
    <row r="475" spans="2:21" s="21" customFormat="1" ht="18" customHeight="1" ns2:dyDescent="0.3">
      <c r="B475" s="143"/>
      <c r="C475" s="134"/>
      <c r="H475" s="60"/>
      <c r="P475" s="279"/>
      <c r="Q475" s="134"/>
      <c r="S475" s="60"/>
      <c r="U475" s="27"/>
    </row>
    <row r="476" spans="2:21" s="21" customFormat="1" ht="18" customHeight="1" ns2:dyDescent="0.3">
      <c r="B476" s="143"/>
      <c r="C476" s="134"/>
      <c r="H476" s="60"/>
      <c r="P476" s="279"/>
      <c r="Q476" s="134"/>
      <c r="S476" s="60"/>
      <c r="U476" s="27"/>
    </row>
    <row r="477" spans="2:21" s="21" customFormat="1" ht="18" customHeight="1" ns2:dyDescent="0.3">
      <c r="B477" s="143"/>
      <c r="C477" s="134"/>
      <c r="H477" s="60"/>
      <c r="P477" s="279"/>
      <c r="Q477" s="134"/>
      <c r="S477" s="60"/>
      <c r="U477" s="27"/>
    </row>
    <row r="478" spans="2:21" s="21" customFormat="1" ht="18" customHeight="1" ns2:dyDescent="0.3">
      <c r="B478" s="143"/>
      <c r="C478" s="134"/>
      <c r="H478" s="60"/>
      <c r="P478" s="279"/>
      <c r="Q478" s="134"/>
      <c r="S478" s="60"/>
      <c r="U478" s="27"/>
    </row>
    <row r="479" spans="2:21" s="21" customFormat="1" ht="18" customHeight="1" ns2:dyDescent="0.3">
      <c r="B479" s="143"/>
      <c r="C479" s="134"/>
      <c r="H479" s="60"/>
      <c r="P479" s="279"/>
      <c r="Q479" s="134"/>
      <c r="S479" s="60"/>
      <c r="U479" s="27"/>
    </row>
    <row r="480" spans="2:21" s="21" customFormat="1" ht="18" customHeight="1" ns2:dyDescent="0.3">
      <c r="B480" s="143"/>
      <c r="C480" s="134"/>
      <c r="H480" s="60"/>
      <c r="P480" s="279"/>
      <c r="Q480" s="134"/>
      <c r="S480" s="60"/>
      <c r="U480" s="27"/>
    </row>
    <row r="481" spans="2:21" s="21" customFormat="1" ht="18" customHeight="1" ns2:dyDescent="0.3">
      <c r="B481" s="143"/>
      <c r="C481" s="134"/>
      <c r="H481" s="60"/>
      <c r="P481" s="279"/>
      <c r="Q481" s="134"/>
      <c r="S481" s="60"/>
      <c r="U481" s="27"/>
    </row>
    <row r="482" spans="2:21" s="21" customFormat="1" ht="18" customHeight="1" ns2:dyDescent="0.3">
      <c r="B482" s="143"/>
      <c r="C482" s="134"/>
      <c r="H482" s="60"/>
      <c r="P482" s="279"/>
      <c r="Q482" s="134"/>
      <c r="S482" s="60"/>
      <c r="U482" s="27"/>
    </row>
    <row r="483" spans="2:21" s="21" customFormat="1" ht="18" customHeight="1" ns2:dyDescent="0.3">
      <c r="B483" s="143"/>
      <c r="C483" s="134"/>
      <c r="H483" s="60"/>
      <c r="P483" s="279"/>
      <c r="Q483" s="134"/>
      <c r="S483" s="60"/>
      <c r="U483" s="27"/>
    </row>
    <row r="484" spans="2:21" s="21" customFormat="1" ht="18" customHeight="1" ns2:dyDescent="0.3">
      <c r="B484" s="143"/>
      <c r="C484" s="134"/>
      <c r="H484" s="60"/>
      <c r="P484" s="279"/>
      <c r="Q484" s="134"/>
      <c r="S484" s="60"/>
      <c r="U484" s="27"/>
    </row>
    <row r="485" spans="2:21" s="21" customFormat="1" ht="18" customHeight="1" ns2:dyDescent="0.3">
      <c r="B485" s="143"/>
      <c r="C485" s="134"/>
      <c r="H485" s="60"/>
      <c r="P485" s="279"/>
      <c r="Q485" s="134"/>
      <c r="S485" s="60"/>
      <c r="U485" s="27"/>
    </row>
    <row r="486" spans="2:21" s="21" customFormat="1" ht="18" customHeight="1" ns2:dyDescent="0.3">
      <c r="B486" s="143"/>
      <c r="C486" s="134"/>
      <c r="H486" s="60"/>
      <c r="P486" s="279"/>
      <c r="Q486" s="134"/>
      <c r="S486" s="60"/>
      <c r="U486" s="27"/>
    </row>
    <row r="487" spans="2:21" s="21" customFormat="1" ht="18" customHeight="1" ns2:dyDescent="0.3">
      <c r="B487" s="143"/>
      <c r="C487" s="134"/>
      <c r="H487" s="60"/>
      <c r="P487" s="279"/>
      <c r="Q487" s="134"/>
      <c r="S487" s="60"/>
      <c r="U487" s="27"/>
    </row>
    <row r="488" spans="2:21" s="21" customFormat="1" ht="18" customHeight="1" ns2:dyDescent="0.3">
      <c r="B488" s="143"/>
      <c r="C488" s="134"/>
      <c r="H488" s="60"/>
      <c r="P488" s="279"/>
      <c r="Q488" s="134"/>
      <c r="S488" s="60"/>
      <c r="U488" s="27"/>
    </row>
    <row r="489" spans="2:21" s="21" customFormat="1" ht="18" customHeight="1" ns2:dyDescent="0.3">
      <c r="B489" s="143"/>
      <c r="C489" s="134"/>
      <c r="H489" s="60"/>
      <c r="P489" s="279"/>
      <c r="Q489" s="134"/>
      <c r="S489" s="60"/>
      <c r="U489" s="27"/>
    </row>
    <row r="490" spans="2:21" s="21" customFormat="1" ht="18" customHeight="1" ns2:dyDescent="0.3">
      <c r="B490" s="143"/>
      <c r="C490" s="134"/>
      <c r="H490" s="60"/>
      <c r="P490" s="279"/>
      <c r="Q490" s="134"/>
      <c r="S490" s="60"/>
      <c r="U490" s="27"/>
    </row>
    <row r="491" spans="2:21" s="21" customFormat="1" ht="18" customHeight="1" ns2:dyDescent="0.3">
      <c r="B491" s="143"/>
      <c r="C491" s="134"/>
      <c r="H491" s="60"/>
      <c r="P491" s="279"/>
      <c r="Q491" s="134"/>
      <c r="S491" s="60"/>
      <c r="U491" s="27"/>
    </row>
    <row r="492" spans="2:21" s="21" customFormat="1" ht="18" customHeight="1" ns2:dyDescent="0.3">
      <c r="B492" s="143"/>
      <c r="C492" s="134"/>
      <c r="H492" s="60"/>
      <c r="P492" s="279"/>
      <c r="Q492" s="134"/>
      <c r="S492" s="60"/>
      <c r="U492" s="27"/>
    </row>
    <row r="493" spans="2:21" s="21" customFormat="1" ht="18" customHeight="1" ns2:dyDescent="0.3">
      <c r="B493" s="143"/>
      <c r="C493" s="134"/>
      <c r="H493" s="60"/>
      <c r="P493" s="279"/>
      <c r="Q493" s="134"/>
      <c r="S493" s="60"/>
      <c r="U493" s="27"/>
    </row>
    <row r="494" spans="2:21" s="21" customFormat="1" ht="18" customHeight="1" ns2:dyDescent="0.3">
      <c r="B494" s="143"/>
      <c r="C494" s="134"/>
      <c r="H494" s="60"/>
      <c r="P494" s="279"/>
      <c r="Q494" s="134"/>
      <c r="S494" s="60"/>
      <c r="U494" s="27"/>
    </row>
    <row r="495" spans="2:21" s="21" customFormat="1" ht="18" customHeight="1" ns2:dyDescent="0.3">
      <c r="B495" s="143"/>
      <c r="C495" s="134"/>
      <c r="H495" s="60"/>
      <c r="P495" s="279"/>
      <c r="Q495" s="134"/>
      <c r="S495" s="60"/>
      <c r="U495" s="27"/>
    </row>
    <row r="496" spans="2:21" s="21" customFormat="1" ht="18" customHeight="1" ns2:dyDescent="0.3">
      <c r="B496" s="143"/>
      <c r="C496" s="134"/>
      <c r="H496" s="60"/>
      <c r="P496" s="279"/>
      <c r="Q496" s="134"/>
      <c r="S496" s="60"/>
      <c r="U496" s="27"/>
    </row>
    <row r="497" spans="2:21" s="21" customFormat="1" ht="18" customHeight="1" ns2:dyDescent="0.3">
      <c r="B497" s="143"/>
      <c r="C497" s="134"/>
      <c r="H497" s="60"/>
      <c r="P497" s="279"/>
      <c r="Q497" s="134"/>
      <c r="S497" s="60"/>
      <c r="U497" s="27"/>
    </row>
    <row r="498" spans="2:21" s="21" customFormat="1" ht="18" customHeight="1" ns2:dyDescent="0.3">
      <c r="B498" s="143"/>
      <c r="C498" s="134"/>
      <c r="H498" s="60"/>
      <c r="P498" s="279"/>
      <c r="Q498" s="134"/>
      <c r="S498" s="60"/>
      <c r="U498" s="27"/>
    </row>
    <row r="499" spans="2:21" s="21" customFormat="1" ht="18" customHeight="1" ns2:dyDescent="0.3">
      <c r="B499" s="143"/>
      <c r="C499" s="134"/>
      <c r="H499" s="60"/>
      <c r="P499" s="279"/>
      <c r="Q499" s="134"/>
      <c r="S499" s="60"/>
      <c r="U499" s="27"/>
    </row>
    <row r="500" spans="2:21" s="21" customFormat="1" ht="18" customHeight="1" ns2:dyDescent="0.3">
      <c r="B500" s="143"/>
      <c r="C500" s="134"/>
      <c r="H500" s="60"/>
      <c r="P500" s="279"/>
      <c r="Q500" s="134"/>
      <c r="S500" s="60"/>
      <c r="U500" s="27"/>
    </row>
    <row r="501" spans="2:21" s="21" customFormat="1" ht="18" customHeight="1" ns2:dyDescent="0.3">
      <c r="B501" s="143"/>
      <c r="C501" s="134"/>
      <c r="H501" s="60"/>
      <c r="P501" s="279"/>
      <c r="Q501" s="134"/>
      <c r="S501" s="60"/>
      <c r="U501" s="27"/>
    </row>
    <row r="502" spans="2:21" s="21" customFormat="1" ht="18" customHeight="1" ns2:dyDescent="0.3">
      <c r="B502" s="143"/>
      <c r="C502" s="134"/>
      <c r="H502" s="60"/>
      <c r="P502" s="279"/>
      <c r="Q502" s="134"/>
      <c r="S502" s="60"/>
      <c r="U502" s="27"/>
    </row>
    <row r="503" spans="2:21" s="21" customFormat="1" ht="18" customHeight="1" ns2:dyDescent="0.3">
      <c r="B503" s="143"/>
      <c r="C503" s="134"/>
      <c r="H503" s="60"/>
      <c r="P503" s="279"/>
      <c r="Q503" s="134"/>
      <c r="S503" s="60"/>
      <c r="U503" s="27"/>
    </row>
    <row r="504" spans="2:21" s="21" customFormat="1" ht="18" customHeight="1" ns2:dyDescent="0.3">
      <c r="B504" s="143"/>
      <c r="C504" s="134"/>
      <c r="H504" s="60"/>
      <c r="P504" s="279"/>
      <c r="Q504" s="134"/>
      <c r="S504" s="60"/>
      <c r="U504" s="27"/>
    </row>
    <row r="505" spans="2:21" s="21" customFormat="1" ht="18" customHeight="1" ns2:dyDescent="0.3">
      <c r="B505" s="143"/>
      <c r="C505" s="134"/>
      <c r="H505" s="60"/>
      <c r="P505" s="279"/>
      <c r="Q505" s="134"/>
      <c r="S505" s="60"/>
      <c r="U505" s="27"/>
    </row>
    <row r="506" spans="2:21" s="21" customFormat="1" ht="18" customHeight="1" ns2:dyDescent="0.3">
      <c r="B506" s="143"/>
      <c r="C506" s="134"/>
      <c r="H506" s="60"/>
      <c r="P506" s="279"/>
      <c r="Q506" s="134"/>
      <c r="S506" s="60"/>
      <c r="U506" s="27"/>
    </row>
    <row r="507" spans="2:21" s="21" customFormat="1" ht="18" customHeight="1" ns2:dyDescent="0.3">
      <c r="B507" s="143"/>
      <c r="C507" s="134"/>
      <c r="H507" s="60"/>
      <c r="P507" s="279"/>
      <c r="Q507" s="134"/>
      <c r="S507" s="60"/>
      <c r="U507" s="27"/>
    </row>
    <row r="508" spans="2:21" s="21" customFormat="1" ht="18" customHeight="1" ns2:dyDescent="0.3">
      <c r="B508" s="143"/>
      <c r="C508" s="134"/>
      <c r="H508" s="60"/>
      <c r="P508" s="279"/>
      <c r="Q508" s="134"/>
      <c r="S508" s="60"/>
      <c r="U508" s="27"/>
    </row>
    <row r="509" spans="2:21" s="21" customFormat="1" ht="18" customHeight="1" ns2:dyDescent="0.3">
      <c r="B509" s="143"/>
      <c r="C509" s="134"/>
      <c r="H509" s="60"/>
      <c r="P509" s="279"/>
      <c r="Q509" s="134"/>
      <c r="S509" s="60"/>
      <c r="U509" s="27"/>
    </row>
    <row r="510" spans="2:21" s="21" customFormat="1" ht="18" customHeight="1" ns2:dyDescent="0.3">
      <c r="B510" s="143"/>
      <c r="C510" s="134"/>
      <c r="H510" s="60"/>
      <c r="P510" s="279"/>
      <c r="Q510" s="134"/>
      <c r="S510" s="60"/>
      <c r="U510" s="27"/>
    </row>
    <row r="511" spans="2:21" s="21" customFormat="1" ht="18" customHeight="1" ns2:dyDescent="0.3">
      <c r="B511" s="143"/>
      <c r="C511" s="134"/>
      <c r="H511" s="60"/>
      <c r="P511" s="279"/>
      <c r="Q511" s="134"/>
      <c r="S511" s="60"/>
      <c r="U511" s="27"/>
    </row>
    <row r="512" spans="2:21" s="21" customFormat="1" ht="18" customHeight="1" ns2:dyDescent="0.3">
      <c r="B512" s="143"/>
      <c r="C512" s="134"/>
      <c r="H512" s="60"/>
      <c r="P512" s="279"/>
      <c r="Q512" s="134"/>
      <c r="S512" s="60"/>
      <c r="U512" s="27"/>
    </row>
    <row r="513" spans="2:21" s="21" customFormat="1" ht="18" customHeight="1" ns2:dyDescent="0.3">
      <c r="B513" s="143"/>
      <c r="C513" s="134"/>
      <c r="H513" s="60"/>
      <c r="P513" s="279"/>
      <c r="Q513" s="134"/>
      <c r="S513" s="60"/>
      <c r="U513" s="27"/>
    </row>
    <row r="514" spans="2:21" s="21" customFormat="1" ht="18" customHeight="1" ns2:dyDescent="0.3">
      <c r="B514" s="143"/>
      <c r="C514" s="134"/>
      <c r="H514" s="60"/>
      <c r="P514" s="279"/>
      <c r="Q514" s="134"/>
      <c r="S514" s="60"/>
      <c r="U514" s="27"/>
    </row>
    <row r="515" spans="2:21" s="21" customFormat="1" ht="18" customHeight="1" ns2:dyDescent="0.3">
      <c r="B515" s="143"/>
      <c r="C515" s="134"/>
      <c r="H515" s="60"/>
      <c r="P515" s="279"/>
      <c r="Q515" s="134"/>
      <c r="S515" s="60"/>
      <c r="U515" s="27"/>
    </row>
    <row r="516" spans="2:21" s="21" customFormat="1" ht="18" customHeight="1" ns2:dyDescent="0.3">
      <c r="B516" s="143"/>
      <c r="C516" s="134"/>
      <c r="H516" s="60"/>
      <c r="P516" s="279"/>
      <c r="Q516" s="134"/>
      <c r="S516" s="60"/>
      <c r="U516" s="27"/>
    </row>
    <row r="517" spans="2:21" s="21" customFormat="1" ht="18" customHeight="1" ns2:dyDescent="0.3">
      <c r="B517" s="143"/>
      <c r="C517" s="134"/>
      <c r="H517" s="60"/>
      <c r="P517" s="279"/>
      <c r="Q517" s="134"/>
      <c r="S517" s="60"/>
      <c r="U517" s="27"/>
    </row>
    <row r="518" spans="2:21" s="21" customFormat="1" ht="18" customHeight="1" ns2:dyDescent="0.3">
      <c r="B518" s="143"/>
      <c r="C518" s="134"/>
      <c r="H518" s="60"/>
      <c r="P518" s="279"/>
      <c r="Q518" s="134"/>
      <c r="S518" s="60"/>
      <c r="U518" s="27"/>
    </row>
    <row r="519" spans="2:21" s="21" customFormat="1" ht="18" customHeight="1" ns2:dyDescent="0.3">
      <c r="B519" s="143"/>
      <c r="C519" s="134"/>
      <c r="H519" s="60"/>
      <c r="P519" s="279"/>
      <c r="Q519" s="134"/>
      <c r="S519" s="60"/>
      <c r="U519" s="27"/>
    </row>
    <row r="520" spans="2:21" s="21" customFormat="1" ht="18" customHeight="1" ns2:dyDescent="0.3">
      <c r="B520" s="143"/>
      <c r="C520" s="134"/>
      <c r="H520" s="60"/>
      <c r="P520" s="279"/>
      <c r="Q520" s="134"/>
      <c r="S520" s="60"/>
      <c r="U520" s="27"/>
    </row>
    <row r="521" spans="2:21" s="21" customFormat="1" ht="18" customHeight="1" ns2:dyDescent="0.3">
      <c r="B521" s="143"/>
      <c r="C521" s="134"/>
      <c r="H521" s="60"/>
      <c r="P521" s="279"/>
      <c r="Q521" s="134"/>
      <c r="S521" s="60"/>
      <c r="U521" s="27"/>
    </row>
    <row r="522" spans="2:21" s="21" customFormat="1" ht="18" customHeight="1" ns2:dyDescent="0.3">
      <c r="B522" s="143"/>
      <c r="C522" s="134"/>
      <c r="H522" s="60"/>
      <c r="P522" s="279"/>
      <c r="Q522" s="134"/>
      <c r="S522" s="60"/>
      <c r="U522" s="27"/>
    </row>
    <row r="523" spans="2:21" s="21" customFormat="1" ht="18" customHeight="1" ns2:dyDescent="0.3">
      <c r="B523" s="143"/>
      <c r="C523" s="134"/>
      <c r="H523" s="60"/>
      <c r="P523" s="279"/>
      <c r="Q523" s="134"/>
      <c r="S523" s="60"/>
      <c r="U523" s="27"/>
    </row>
    <row r="524" spans="2:21" s="21" customFormat="1" ht="18" customHeight="1" ns2:dyDescent="0.3">
      <c r="B524" s="143"/>
      <c r="C524" s="134"/>
      <c r="H524" s="60"/>
      <c r="P524" s="279"/>
      <c r="Q524" s="134"/>
      <c r="S524" s="60"/>
      <c r="U524" s="27"/>
    </row>
    <row r="525" spans="2:21" s="21" customFormat="1" ht="18" customHeight="1" ns2:dyDescent="0.3">
      <c r="B525" s="143"/>
      <c r="C525" s="134"/>
      <c r="H525" s="60"/>
      <c r="P525" s="279"/>
      <c r="Q525" s="134"/>
      <c r="S525" s="60"/>
      <c r="U525" s="27"/>
    </row>
    <row r="526" spans="2:21" s="21" customFormat="1" ht="18" customHeight="1" ns2:dyDescent="0.3">
      <c r="B526" s="143"/>
      <c r="C526" s="134"/>
      <c r="H526" s="60"/>
      <c r="P526" s="279"/>
      <c r="Q526" s="134"/>
      <c r="S526" s="60"/>
      <c r="U526" s="27"/>
    </row>
    <row r="527" spans="2:21" s="21" customFormat="1" ht="18" customHeight="1" ns2:dyDescent="0.3">
      <c r="B527" s="143"/>
      <c r="C527" s="134"/>
      <c r="H527" s="60"/>
      <c r="P527" s="279"/>
      <c r="Q527" s="134"/>
      <c r="S527" s="60"/>
      <c r="U527" s="27"/>
    </row>
    <row r="528" spans="2:21" s="21" customFormat="1" ht="18" customHeight="1" ns2:dyDescent="0.3">
      <c r="B528" s="143"/>
      <c r="C528" s="134"/>
      <c r="H528" s="60"/>
      <c r="P528" s="279"/>
      <c r="Q528" s="134"/>
      <c r="S528" s="60"/>
      <c r="U528" s="27"/>
    </row>
    <row r="529" spans="2:21" s="21" customFormat="1" ht="18" customHeight="1" ns2:dyDescent="0.3">
      <c r="B529" s="143"/>
      <c r="C529" s="134"/>
      <c r="H529" s="60"/>
      <c r="P529" s="279"/>
      <c r="Q529" s="134"/>
      <c r="S529" s="60"/>
      <c r="U529" s="27"/>
    </row>
    <row r="530" spans="2:21" s="21" customFormat="1" ht="18" customHeight="1" ns2:dyDescent="0.3">
      <c r="B530" s="143"/>
      <c r="C530" s="134"/>
      <c r="H530" s="60"/>
      <c r="P530" s="279"/>
      <c r="Q530" s="134"/>
      <c r="S530" s="60"/>
      <c r="U530" s="27"/>
    </row>
    <row r="531" spans="2:21" s="21" customFormat="1" ht="18" customHeight="1" ns2:dyDescent="0.3">
      <c r="B531" s="143"/>
      <c r="C531" s="134"/>
      <c r="H531" s="60"/>
      <c r="P531" s="279"/>
      <c r="Q531" s="134"/>
      <c r="S531" s="60"/>
      <c r="U531" s="27"/>
    </row>
    <row r="532" spans="2:21" s="21" customFormat="1" ht="18" customHeight="1" ns2:dyDescent="0.3">
      <c r="B532" s="143"/>
      <c r="C532" s="134"/>
      <c r="H532" s="60"/>
      <c r="P532" s="279"/>
      <c r="Q532" s="134"/>
      <c r="S532" s="60"/>
      <c r="U532" s="27"/>
    </row>
    <row r="533" spans="2:21" s="21" customFormat="1" ht="18" customHeight="1" ns2:dyDescent="0.3">
      <c r="B533" s="143"/>
      <c r="C533" s="134"/>
      <c r="H533" s="60"/>
      <c r="P533" s="279"/>
      <c r="Q533" s="134"/>
      <c r="S533" s="60"/>
      <c r="U533" s="27"/>
    </row>
    <row r="534" spans="2:21" s="21" customFormat="1" ht="18" customHeight="1" ns2:dyDescent="0.3">
      <c r="B534" s="143"/>
      <c r="C534" s="134"/>
      <c r="H534" s="60"/>
      <c r="P534" s="279"/>
      <c r="Q534" s="134"/>
      <c r="S534" s="60"/>
      <c r="U534" s="27"/>
    </row>
    <row r="535" spans="2:21" s="21" customFormat="1" ht="18" customHeight="1" ns2:dyDescent="0.3">
      <c r="B535" s="143"/>
      <c r="C535" s="134"/>
      <c r="H535" s="60"/>
      <c r="P535" s="279"/>
      <c r="Q535" s="134"/>
      <c r="S535" s="60"/>
      <c r="U535" s="27"/>
    </row>
    <row r="536" spans="2:21" s="21" customFormat="1" ht="18" customHeight="1" ns2:dyDescent="0.3">
      <c r="B536" s="143"/>
      <c r="C536" s="134"/>
      <c r="H536" s="60"/>
      <c r="P536" s="279"/>
      <c r="Q536" s="134"/>
      <c r="S536" s="60"/>
      <c r="U536" s="27"/>
    </row>
    <row r="537" spans="2:21" s="21" customFormat="1" ht="18" customHeight="1" ns2:dyDescent="0.3">
      <c r="B537" s="143"/>
      <c r="C537" s="134"/>
      <c r="H537" s="60"/>
      <c r="P537" s="279"/>
      <c r="Q537" s="134"/>
      <c r="S537" s="60"/>
      <c r="U537" s="27"/>
    </row>
    <row r="538" spans="2:21" s="21" customFormat="1" ht="18" customHeight="1" ns2:dyDescent="0.3">
      <c r="B538" s="143"/>
      <c r="C538" s="134"/>
      <c r="H538" s="60"/>
      <c r="P538" s="279"/>
      <c r="Q538" s="134"/>
      <c r="S538" s="60"/>
      <c r="U538" s="27"/>
    </row>
    <row r="539" spans="2:21" s="21" customFormat="1" ht="18" customHeight="1" ns2:dyDescent="0.3">
      <c r="B539" s="143"/>
      <c r="C539" s="134"/>
      <c r="H539" s="60"/>
      <c r="P539" s="279"/>
      <c r="Q539" s="134"/>
      <c r="S539" s="60"/>
      <c r="U539" s="27"/>
    </row>
    <row r="540" spans="2:21" s="21" customFormat="1" ht="18" customHeight="1" ns2:dyDescent="0.3">
      <c r="B540" s="143"/>
      <c r="C540" s="134"/>
      <c r="H540" s="60"/>
      <c r="P540" s="279"/>
      <c r="Q540" s="134"/>
      <c r="S540" s="60"/>
      <c r="U540" s="27"/>
    </row>
    <row r="541" spans="2:21" s="21" customFormat="1" ht="18" customHeight="1" ns2:dyDescent="0.3">
      <c r="B541" s="143"/>
      <c r="C541" s="134"/>
      <c r="H541" s="60"/>
      <c r="P541" s="279"/>
      <c r="Q541" s="134"/>
      <c r="S541" s="60"/>
      <c r="U541" s="27"/>
    </row>
    <row r="542" spans="2:21" s="21" customFormat="1" ht="18" customHeight="1" ns2:dyDescent="0.3">
      <c r="B542" s="143"/>
      <c r="C542" s="134"/>
      <c r="H542" s="60"/>
      <c r="P542" s="279"/>
      <c r="Q542" s="134"/>
      <c r="S542" s="60"/>
      <c r="U542" s="27"/>
    </row>
    <row r="543" spans="2:21" s="21" customFormat="1" ht="18" customHeight="1" ns2:dyDescent="0.3">
      <c r="B543" s="143"/>
      <c r="C543" s="134"/>
      <c r="H543" s="60"/>
      <c r="P543" s="279"/>
      <c r="Q543" s="134"/>
      <c r="S543" s="60"/>
      <c r="U543" s="27"/>
    </row>
    <row r="544" spans="2:21" s="21" customFormat="1" ht="18" customHeight="1" ns2:dyDescent="0.3">
      <c r="B544" s="143"/>
      <c r="C544" s="134"/>
      <c r="H544" s="60"/>
      <c r="P544" s="279"/>
      <c r="Q544" s="134"/>
      <c r="S544" s="60"/>
      <c r="U544" s="27"/>
    </row>
    <row r="545" spans="2:21" s="21" customFormat="1" ht="18" customHeight="1" ns2:dyDescent="0.3">
      <c r="B545" s="143"/>
      <c r="C545" s="134"/>
      <c r="H545" s="60"/>
      <c r="P545" s="279"/>
      <c r="Q545" s="134"/>
      <c r="S545" s="60"/>
      <c r="U545" s="27"/>
    </row>
    <row r="546" spans="2:21" s="21" customFormat="1" ht="18" customHeight="1" ns2:dyDescent="0.3">
      <c r="B546" s="143"/>
      <c r="C546" s="134"/>
      <c r="H546" s="60"/>
      <c r="P546" s="279"/>
      <c r="Q546" s="134"/>
      <c r="S546" s="60"/>
      <c r="U546" s="27"/>
    </row>
    <row r="547" spans="2:21" s="21" customFormat="1" ht="18" customHeight="1" ns2:dyDescent="0.3">
      <c r="B547" s="143"/>
      <c r="C547" s="134"/>
      <c r="H547" s="60"/>
      <c r="P547" s="279"/>
      <c r="Q547" s="134"/>
      <c r="S547" s="60"/>
      <c r="U547" s="27"/>
    </row>
    <row r="548" spans="2:21" s="21" customFormat="1" ht="18" customHeight="1" ns2:dyDescent="0.3">
      <c r="B548" s="143"/>
      <c r="C548" s="134"/>
      <c r="H548" s="60"/>
      <c r="P548" s="279"/>
      <c r="Q548" s="134"/>
      <c r="S548" s="60"/>
      <c r="U548" s="27"/>
    </row>
    <row r="549" spans="2:21" s="21" customFormat="1" ht="18" customHeight="1" ns2:dyDescent="0.3">
      <c r="B549" s="143"/>
      <c r="C549" s="134"/>
      <c r="H549" s="60"/>
      <c r="P549" s="279"/>
      <c r="Q549" s="134"/>
      <c r="S549" s="60"/>
      <c r="U549" s="27"/>
    </row>
    <row r="550" spans="2:21" s="21" customFormat="1" ht="18" customHeight="1" ns2:dyDescent="0.3">
      <c r="B550" s="143"/>
      <c r="C550" s="134"/>
      <c r="H550" s="60"/>
      <c r="P550" s="279"/>
      <c r="Q550" s="134"/>
      <c r="S550" s="60"/>
      <c r="U550" s="27"/>
    </row>
    <row r="551" spans="2:21" s="21" customFormat="1" ht="18" customHeight="1" ns2:dyDescent="0.3">
      <c r="B551" s="143"/>
      <c r="C551" s="134"/>
      <c r="H551" s="60"/>
      <c r="P551" s="279"/>
      <c r="Q551" s="134"/>
      <c r="S551" s="60"/>
      <c r="U551" s="27"/>
    </row>
    <row r="552" spans="2:21" s="21" customFormat="1" ht="18" customHeight="1" ns2:dyDescent="0.3">
      <c r="B552" s="143"/>
      <c r="C552" s="134"/>
      <c r="H552" s="60"/>
      <c r="P552" s="279"/>
      <c r="Q552" s="134"/>
      <c r="S552" s="60"/>
      <c r="U552" s="27"/>
    </row>
    <row r="553" spans="2:21" s="21" customFormat="1" ht="18" customHeight="1" ns2:dyDescent="0.3">
      <c r="B553" s="143"/>
      <c r="C553" s="134"/>
      <c r="H553" s="60"/>
      <c r="P553" s="279"/>
      <c r="Q553" s="134"/>
      <c r="S553" s="60"/>
      <c r="U553" s="27"/>
    </row>
    <row r="554" spans="2:21" s="21" customFormat="1" ht="18" customHeight="1" ns2:dyDescent="0.3">
      <c r="B554" s="143"/>
      <c r="C554" s="134"/>
      <c r="H554" s="60"/>
      <c r="P554" s="279"/>
      <c r="Q554" s="134"/>
      <c r="S554" s="60"/>
      <c r="U554" s="27"/>
    </row>
    <row r="555" spans="2:21" s="21" customFormat="1" ht="18" customHeight="1" ns2:dyDescent="0.3">
      <c r="B555" s="143"/>
      <c r="C555" s="134"/>
      <c r="H555" s="60"/>
      <c r="P555" s="279"/>
      <c r="Q555" s="134"/>
      <c r="S555" s="60"/>
      <c r="U555" s="27"/>
    </row>
    <row r="556" spans="2:21" s="21" customFormat="1" ht="18" customHeight="1" ns2:dyDescent="0.3">
      <c r="B556" s="143"/>
      <c r="C556" s="134"/>
      <c r="H556" s="60"/>
      <c r="P556" s="279"/>
      <c r="Q556" s="134"/>
      <c r="S556" s="60"/>
      <c r="U556" s="27"/>
    </row>
    <row r="557" spans="2:21" s="21" customFormat="1" ht="18" customHeight="1" ns2:dyDescent="0.3">
      <c r="B557" s="143"/>
      <c r="C557" s="134"/>
      <c r="H557" s="60"/>
      <c r="P557" s="279"/>
      <c r="Q557" s="134"/>
      <c r="S557" s="60"/>
      <c r="U557" s="27"/>
    </row>
    <row r="558" spans="2:21" s="21" customFormat="1" ht="18" customHeight="1" ns2:dyDescent="0.3">
      <c r="B558" s="143"/>
      <c r="C558" s="134"/>
      <c r="H558" s="60"/>
      <c r="P558" s="279"/>
      <c r="Q558" s="134"/>
      <c r="S558" s="60"/>
      <c r="U558" s="27"/>
    </row>
    <row r="559" spans="2:21" s="21" customFormat="1" ht="18" customHeight="1" ns2:dyDescent="0.3">
      <c r="B559" s="143"/>
      <c r="C559" s="134"/>
      <c r="H559" s="60"/>
      <c r="P559" s="279"/>
      <c r="Q559" s="134"/>
      <c r="S559" s="60"/>
      <c r="U559" s="27"/>
    </row>
    <row r="560" spans="2:21" s="21" customFormat="1" ht="18" customHeight="1" ns2:dyDescent="0.3">
      <c r="B560" s="143"/>
      <c r="C560" s="134"/>
      <c r="H560" s="60"/>
      <c r="P560" s="279"/>
      <c r="Q560" s="134"/>
      <c r="S560" s="60"/>
      <c r="U560" s="27"/>
    </row>
    <row r="561" spans="2:21" s="21" customFormat="1" ht="18" customHeight="1" ns2:dyDescent="0.3">
      <c r="B561" s="143"/>
      <c r="C561" s="134"/>
      <c r="H561" s="60"/>
      <c r="P561" s="279"/>
      <c r="Q561" s="134"/>
      <c r="S561" s="60"/>
      <c r="U561" s="27"/>
    </row>
    <row r="562" spans="2:21" s="21" customFormat="1" ht="18" customHeight="1" ns2:dyDescent="0.3">
      <c r="B562" s="143"/>
      <c r="C562" s="134"/>
      <c r="H562" s="60"/>
      <c r="P562" s="279"/>
      <c r="Q562" s="134"/>
      <c r="S562" s="60"/>
      <c r="U562" s="27"/>
    </row>
    <row r="563" spans="2:21" s="21" customFormat="1" ht="18" customHeight="1" ns2:dyDescent="0.3">
      <c r="B563" s="143"/>
      <c r="C563" s="134"/>
      <c r="H563" s="60"/>
      <c r="P563" s="279"/>
      <c r="Q563" s="134"/>
      <c r="S563" s="60"/>
      <c r="U563" s="27"/>
    </row>
    <row r="564" spans="2:21" s="21" customFormat="1" ht="18" customHeight="1" ns2:dyDescent="0.3">
      <c r="B564" s="143"/>
      <c r="C564" s="134"/>
      <c r="H564" s="60"/>
      <c r="P564" s="279"/>
      <c r="Q564" s="134"/>
      <c r="S564" s="60"/>
      <c r="U564" s="27"/>
    </row>
    <row r="565" spans="2:21" s="21" customFormat="1" ht="18" customHeight="1" ns2:dyDescent="0.3">
      <c r="B565" s="143"/>
      <c r="C565" s="134"/>
      <c r="H565" s="60"/>
      <c r="P565" s="279"/>
      <c r="Q565" s="134"/>
      <c r="S565" s="60"/>
      <c r="U565" s="27"/>
    </row>
    <row r="566" spans="2:21" ht="18" customHeight="1" ns2:dyDescent="0.3">
      <c r="H566" s="190"/>
      <c r="S566" s="190"/>
    </row>
    <row r="567" spans="2:21" ht="18" customHeight="1" ns2:dyDescent="0.3">
      <c r="H567" s="190"/>
      <c r="S567" s="190"/>
    </row>
    <row r="568" spans="2:21" ht="18" customHeight="1" ns2:dyDescent="0.3">
      <c r="H568" s="190"/>
      <c r="S568" s="190"/>
    </row>
    <row r="569" spans="2:21" ht="18" customHeight="1" ns2:dyDescent="0.3">
      <c r="H569" s="190"/>
      <c r="S569" s="190"/>
    </row>
    <row r="570" spans="2:21" ht="18" customHeight="1" ns2:dyDescent="0.3">
      <c r="S570" s="190"/>
    </row>
    <row r="571" spans="2:21" ht="18" customHeight="1" ns2:dyDescent="0.3">
      <c r="S571" s="190"/>
    </row>
    <row r="572" spans="2:21" ht="18" customHeight="1" ns2:dyDescent="0.3">
      <c r="S572" s="190"/>
    </row>
    <row r="573" spans="2:21" ht="18" customHeight="1" ns2:dyDescent="0.3">
      <c r="S573" s="190"/>
    </row>
  </sheetData>
  <sheetProtection insertRows="0" deleteRows="0" sort="0" autoFilter="0" pivotTables="0"/>
  <customSheetViews>
    <customSheetView guid="{9B185263-2BD9-4D2A-A382-CDCDF12F5EF0}" scale="90" showPageBreaks="1" view="pageBreakPreview">
      <selection activeCell="B13" sqref="B13"/>
    </customSheetView>
  </customSheetViews>
  <mergeCells count="18">
    <mergeCell ref="K1:P1"/>
    <mergeCell ref="D1:H1"/>
    <mergeCell ref="T2:T3"/>
    <mergeCell ref="E2:G2"/>
    <mergeCell ref="U2:U3"/>
    <mergeCell ref="S2:S3"/>
    <mergeCell ref="A2:A3"/>
    <mergeCell ref="R2:R3"/>
    <mergeCell ref="D2:D3"/>
    <mergeCell ref="M2:O2"/>
    <mergeCell ref="P2:Q2"/>
    <mergeCell ref="C2:C3"/>
    <mergeCell ref="K2:K3"/>
    <mergeCell ref="H2:H3"/>
    <mergeCell ref="I2:I3"/>
    <mergeCell ref="J2:J3"/>
    <mergeCell ref="B2:B3"/>
    <mergeCell ref="L2:L3"/>
  </mergeCells>
  <phoneticPr fontId="7" type="noConversion"/>
  <dataValidations count="6">
    <dataValidation type="decimal" errorStyle="warning" allowBlank="1" showInputMessage="1" showErrorMessage="1" errorTitle="تنبيه" error="الرجاء اختيار يوم صحيح بين 1-31" sqref="E11:E193 M11:M193">
      <formula1>1</formula1>
      <formula2>31</formula2>
    </dataValidation>
    <dataValidation type="decimal" errorStyle="warning" allowBlank="1" showInputMessage="1" showErrorMessage="1" errorTitle="تنبيه:" error="الرجاء اختيار شهر صحيح بين 1-12" sqref="F11:F193 N11:N193">
      <formula1>1</formula1>
      <formula2>12</formula2>
    </dataValidation>
    <dataValidation type="decimal" errorStyle="warning" allowBlank="1" showInputMessage="1" showErrorMessage="1" errorTitle="تنبيه:" error="الرجاء اختيار عام صحيح مثال: 1994" sqref="O11:O193">
      <formula1>1900</formula1>
      <formula2>2200</formula2>
    </dataValidation>
    <dataValidation operator="notBetween" allowBlank="1" showInputMessage="1" showErrorMessage="1" sqref="B1:B3 B11:B1048576"/>
    <dataValidation allowBlank="1" showInputMessage="1" showErrorMessage="1" errorTitle="تنبيه:" error="الرجاء اختيار رقم موبايل صحيح مكون من عشرة ارقام." sqref="P1:Q3 P11:Q1048576"/>
    <dataValidation errorStyle="warning" allowBlank="1" showInputMessage="1" showErrorMessage="1" errorTitle="تنبيه:" error="الرجاء اختيار عام صحيح مثال: 1994" sqref="G11:G1048576"/>
  </dataValidations>
  <printOptions horizontalCentered="1" verticalCentered="1"/>
  <pageMargins left="0.196850393700787" right="0.196850393700787" top="0" bottom="0.98425196850393704" header="0" footer="0.511811023622047"/>
  <headerFooter scaleWithDoc="0" alignWithMargins="0">
    <oddHeader>&amp;C&amp;G</oddHeader>
    <oddFooter>&amp;C&amp;P-&amp;N</oddFooter>
  </headerFooter>
  <extLst>
    <ext uri="{CCE6A557-97BC-4b89-ADB6-D9C93CAAB3DF}">
      <ns4:dataValidations count="10">
        <ns4:dataValidation type="list" allowBlank="1" showInputMessage="1" showErrorMessage="1">
          <ns4:formula1>
            <ns5:f>قوائم!$D$3:$D$6</ns5:f>
          </ns4:formula1>
          <ns5:sqref>L11:L193</ns5:sqref>
        </ns4:dataValidation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_x000a_وفي حالة عدم وجود الخيار الصحيح يرجى كتابته يدوياً">
          <ns4:formula1>
            <ns5:f>قوائم!$E$3:$E$7</ns5:f>
          </ns4:formula1>
          <ns5:sqref>H11:H569</ns5:sqref>
        </ns4:dataValidation>
        <ns4:dataValidation type="list" allowBlank="1" showInputMessage="1" showErrorMessage="1">
          <ns4:formula1>
            <ns5:f>قوائم!$J$2:$J$4</ns5:f>
          </ns4:formula1>
          <ns5:sqref>T11:T1048576</ns5:sqref>
        </ns4:dataValidation>
        <ns4:dataValidation type="list" allowBlank="1" showInputMessage="1" showErrorMessage="1" promptTitle="تنبيه" prompt="الرجاء اختيار نوع الاجازة._x000a_">
          <ns4:formula1>
            <ns5:f>قوائم!$L$2:$L$5</ns5:f>
          </ns4:formula1>
          <ns5:sqref>S4:S1048576</ns5:sqref>
        </ns4:dataValidation>
        <ns4:dataValidation type="list" errorStyle="warning" allowBlank="1" showInputMessage="1" showErrorMessage="1" promptTitle="تنبيه:" prompt="الرجاء اختيار من القائمة المنسدلة_x000a_وفي حالة عدم وجود الخيار الصحيح يرجى كتابته يدوياً">
          <ns4:formula1>
            <ns5:f>قوائم!$A$2:$A$21</ns5:f>
          </ns4:formula1>
          <ns5:sqref>K11:K1048576</ns5:sqref>
        </ns4:dataValidation>
        <ns4:dataValidation type="list" allowBlank="1" showInputMessage="1" showErrorMessage="1" promptTitle="تنبيه:" prompt="الرجاء اختيار من القائمة المنسدلة_x000a_وفي حالة عدم وجود الخيار الصحيح يرجى كتابته يدوياً.">
          <ns4:formula1>
            <ns5:f>قوائم!$B$2:$B$37</ns5:f>
          </ns4:formula1>
          <ns5:sqref>I233:I574</ns5:sqref>
        </ns4:dataValidation>
        <ns4:dataValidation type="list" allowBlank="1" showInputMessage="1" showErrorMessage="1" promptTitle="تنبيه:" prompt="الرجاء اختيار من القائمة المنسدلة_x000a_وفي حالة عدم وجود الخيار الصحيح يرجى كتابته يدوياً.">
          <ns4:formula1>
            <ns5:f>قوائم!$B$3:$B$41</ns5:f>
          </ns4:formula1>
          <ns5:sqref>I11:I232</ns5:sqref>
        </ns4:dataValidation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I9:I10 H4:H10</ns5:sqref>
        </ns4:dataValidation>
        <ns4:dataValidation type="list" allowBlank="1" showInputMessage="1" showErrorMessage="1">
          <ns4:formula1>
            <ns5:f>'C:\Users\ASUS\Downloads\Telegram Desktop\[بيان_شهر_كانون_الثاني_مدرسة_طارق_بن_زياد.xlsx]قوائم'!#REF!</ns5:f>
          </ns4:formula1>
          <ns5:sqref>L4:L10</ns5:sqref>
        </ns4:dataValidation>
        <ns4:dataValidation type="list" errorStyle="warning" allowBlank="1" showInputMessage="1" showErrorMessage="1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K4:K10</ns5:sqref>
        </ns4:dataValidation>
      </ns4:dataValidations>
    </ext>
  </extLst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xmlns:ns4="http://schemas.microsoft.com/office/spreadsheetml/2009/9/main" xmlns:ns5="http://schemas.microsoft.com/office/excel/2006/main" ns1:Ignorable="x14ac">
  <sheetPr codeName="Worksheet____3">
    <tabColor rgb="FF0070C0"/>
    <pageSetUpPr fitToPage="1"/>
  </sheetPr>
  <dimension ref="A1:Y573"/>
  <sheetViews>
    <sheetView rightToLeft="1" view="pageBreakPreview" topLeftCell="C11" zoomScaleNormal="100" zoomScaleSheetLayoutView="100" workbookViewId="0">
      <selection activeCell="T28" sqref="T28"/>
    </sheetView>
  </sheetViews>
  <sheetFormatPr defaultColWidth="12" defaultRowHeight="18" customHeight="1" ns2:dyDescent="0.3"/>
  <cols>
    <col min="1" max="1" width="4.6640625" style="27" customWidth="1"/>
    <col min="2" max="2" width="17.88671875" style="139" customWidth="1"/>
    <col min="3" max="3" width="21.109375" style="27" customWidth="1"/>
    <col min="4" max="4" width="8.21875" style="27" customWidth="1"/>
    <col min="5" max="5" width="5.6640625" style="27" customWidth="1"/>
    <col min="6" max="6" width="5.33203125" style="27" customWidth="1"/>
    <col min="7" max="7" width="5.6640625" style="27" customWidth="1"/>
    <col min="8" max="8" width="6.6640625" style="27" customWidth="1"/>
    <col min="9" max="9" width="11.33203125" style="31" customWidth="1"/>
    <col min="10" max="10" width="6.6640625" style="27" customWidth="1"/>
    <col min="11" max="11" width="11.21875" style="27" customWidth="1"/>
    <col min="12" max="12" width="5.21875" style="27" customWidth="1"/>
    <col min="13" max="13" width="9" style="27" customWidth="1"/>
    <col min="14" max="14" width="7.33203125" style="27" customWidth="1"/>
    <col min="15" max="15" width="5.21875" style="27" customWidth="1"/>
    <col min="16" max="16" width="5.88671875" style="27" customWidth="1"/>
    <col min="17" max="17" width="3.77734375" style="27" customWidth="1"/>
    <col min="18" max="18" width="4" style="27" customWidth="1"/>
    <col min="19" max="19" width="4.33203125" style="27" customWidth="1"/>
    <col min="20" max="20" width="14" style="282" customWidth="1"/>
    <col min="21" max="21" width="10.88671875" style="27" customWidth="1"/>
    <col min="22" max="22" width="10.109375" style="27" customWidth="1"/>
    <col min="23" max="23" width="9.77734375" style="21" customWidth="1"/>
    <col min="24" max="24" width="8.6640625" style="21" customWidth="1"/>
    <col min="25" max="25" width="22.21875" style="27" customWidth="1"/>
    <col min="26" max="26" width="3.33203125" style="27" customWidth="1"/>
    <col min="27" max="16384" width="12" style="27"/>
  </cols>
  <sheetData>
    <row r="1" spans="1:25" s="25" customFormat="1" ht="24" customHeight="1" thickBot="1" ns2:dyDescent="0.35">
      <c r="B1" s="140"/>
      <c r="C1" s="184" t="str">
        <f>البيان!$K$7</f>
        <v>طارق بن زياد</v>
      </c>
      <c r="D1" s="92"/>
      <c r="E1" s="92"/>
      <c r="F1" s="92"/>
      <c r="G1" s="92"/>
      <c r="H1" s="557" t="s">
        <v>64</v>
      </c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86" t="s">
        <v>155</v>
      </c>
      <c r="X1" s="86" t="str">
        <f>البيان!J7</f>
        <v>اولى</v>
      </c>
    </row>
    <row r="2" spans="1:25" s="19" customFormat="1" ht="45.75" customHeight="1" thickBot="1" ns2:dyDescent="0.35">
      <c r="A2" s="524" t="s">
        <v>1</v>
      </c>
      <c r="B2" s="539" t="s">
        <v>180</v>
      </c>
      <c r="C2" s="550" t="s">
        <v>4</v>
      </c>
      <c r="D2" s="535" t="s">
        <v>91</v>
      </c>
      <c r="E2" s="554" t="s">
        <v>0</v>
      </c>
      <c r="F2" s="555"/>
      <c r="G2" s="556"/>
      <c r="H2" s="552" t="s">
        <v>128</v>
      </c>
      <c r="I2" s="562" t="s">
        <v>2</v>
      </c>
      <c r="J2" s="560" t="s">
        <v>3</v>
      </c>
      <c r="K2" s="526" t="s">
        <v>125</v>
      </c>
      <c r="L2" s="558" t="s">
        <v>57</v>
      </c>
      <c r="M2" s="552" t="s">
        <v>58</v>
      </c>
      <c r="N2" s="552" t="s">
        <v>59</v>
      </c>
      <c r="O2" s="537" t="s">
        <v>28</v>
      </c>
      <c r="P2" s="537" t="s">
        <v>82</v>
      </c>
      <c r="Q2" s="547" t="s">
        <v>60</v>
      </c>
      <c r="R2" s="453"/>
      <c r="S2" s="454"/>
      <c r="T2" s="548" t="s">
        <v>35</v>
      </c>
      <c r="U2" s="549"/>
      <c r="V2" s="537" t="s">
        <v>149</v>
      </c>
      <c r="W2" s="545" t="s">
        <v>126</v>
      </c>
      <c r="X2" s="526" t="s">
        <v>290</v>
      </c>
      <c r="Y2" s="526" t="s">
        <v>289</v>
      </c>
    </row>
    <row r="3" spans="1:25" s="19" customFormat="1" ht="23.25" customHeight="1" thickBot="1" ns2:dyDescent="0.35">
      <c r="A3" s="525"/>
      <c r="B3" s="540"/>
      <c r="C3" s="551"/>
      <c r="D3" s="536"/>
      <c r="E3" s="88" t="s">
        <v>181</v>
      </c>
      <c r="F3" s="88" t="s">
        <v>182</v>
      </c>
      <c r="G3" s="88" t="s">
        <v>183</v>
      </c>
      <c r="H3" s="553"/>
      <c r="I3" s="563"/>
      <c r="J3" s="561"/>
      <c r="K3" s="527"/>
      <c r="L3" s="559"/>
      <c r="M3" s="553"/>
      <c r="N3" s="553"/>
      <c r="O3" s="538"/>
      <c r="P3" s="538"/>
      <c r="Q3" s="89" t="s">
        <v>39</v>
      </c>
      <c r="R3" s="90" t="s">
        <v>40</v>
      </c>
      <c r="S3" s="90" t="s">
        <v>41</v>
      </c>
      <c r="T3" s="280" t="s">
        <v>61</v>
      </c>
      <c r="U3" s="91" t="s">
        <v>42</v>
      </c>
      <c r="V3" s="538"/>
      <c r="W3" s="546"/>
      <c r="X3" s="544"/>
      <c r="Y3" s="544"/>
    </row>
    <row r="4" spans="1:25" ht="20.100000000000001" customHeight="1" ns2:dyDescent="0.3">
      <c r="A4" s="312">
        <f>ROWS($A$4:A4)</f>
        <v>1</v>
      </c>
      <c r="B4" s="313"/>
      <c r="C4" s="314"/>
      <c r="D4" s="314"/>
      <c r="E4" s="315"/>
      <c r="F4" s="315"/>
      <c r="G4" s="315"/>
      <c r="H4" s="316"/>
      <c r="I4" s="316"/>
      <c r="J4" s="315"/>
      <c r="K4" s="317"/>
      <c r="L4" s="318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60"/>
      <c r="X4" s="211"/>
      <c r="Y4" s="30"/>
    </row>
    <row r="5" spans="1:25" ht="20.100000000000001" customHeight="1" ns2:dyDescent="0.3">
      <c r="A5" s="312">
        <f>ROWS($A$4:A5)</f>
        <v>2</v>
      </c>
      <c r="B5" s="319"/>
      <c r="C5" s="320"/>
      <c r="D5" s="320"/>
      <c r="E5" s="321"/>
      <c r="F5" s="321"/>
      <c r="G5" s="321"/>
      <c r="H5" s="316"/>
      <c r="I5" s="316"/>
      <c r="J5" s="322"/>
      <c r="K5" s="317"/>
      <c r="L5" s="318"/>
      <c r="M5" s="315"/>
      <c r="N5" s="315"/>
      <c r="O5" s="315"/>
      <c r="P5" s="315"/>
      <c r="Q5" s="322"/>
      <c r="R5" s="322"/>
      <c r="S5" s="322"/>
      <c r="T5" s="322"/>
      <c r="U5" s="317"/>
      <c r="V5" s="322"/>
      <c r="W5" s="60"/>
      <c r="X5" s="32"/>
      <c r="Y5" s="30"/>
    </row>
    <row r="6" spans="1:25" ht="20.100000000000001" customHeight="1" ns2:dyDescent="0.3">
      <c r="A6" s="312">
        <f>ROWS($A$4:A6)</f>
        <v>3</v>
      </c>
      <c r="B6" s="142"/>
      <c r="C6" s="320"/>
      <c r="D6" s="320"/>
      <c r="E6" s="321"/>
      <c r="F6" s="321"/>
      <c r="G6" s="321"/>
      <c r="H6" s="316"/>
      <c r="I6" s="316"/>
      <c r="J6" s="322"/>
      <c r="K6" s="317"/>
      <c r="L6" s="318"/>
      <c r="M6" s="315"/>
      <c r="N6" s="315"/>
      <c r="O6" s="315"/>
      <c r="P6" s="315"/>
      <c r="Q6" s="322"/>
      <c r="R6" s="322"/>
      <c r="S6" s="322"/>
      <c r="T6" s="322"/>
      <c r="U6" s="317"/>
      <c r="V6" s="322"/>
      <c r="W6" s="60"/>
      <c r="X6" s="32"/>
      <c r="Y6" s="30"/>
    </row>
    <row r="7" spans="1:25" ht="20.100000000000001" customHeight="1" ns2:dyDescent="0.3">
      <c r="A7" s="312">
        <f>ROWS($A$4:A7)</f>
        <v>4</v>
      </c>
      <c r="B7" s="142"/>
      <c r="C7" s="320"/>
      <c r="D7" s="320"/>
      <c r="E7" s="321"/>
      <c r="F7" s="321"/>
      <c r="G7" s="321"/>
      <c r="H7" s="316"/>
      <c r="I7" s="316"/>
      <c r="J7" s="322"/>
      <c r="K7" s="317"/>
      <c r="L7" s="318"/>
      <c r="M7" s="315"/>
      <c r="N7" s="315"/>
      <c r="O7" s="315"/>
      <c r="P7" s="315"/>
      <c r="Q7" s="322"/>
      <c r="R7" s="322"/>
      <c r="S7" s="322"/>
      <c r="T7" s="322"/>
      <c r="U7" s="317"/>
      <c r="V7" s="322"/>
      <c r="W7" s="60"/>
      <c r="X7" s="32"/>
      <c r="Y7" s="30"/>
    </row>
    <row r="8" spans="1:25" ht="20.100000000000001" customHeight="1" ns2:dyDescent="0.3">
      <c r="A8" s="312">
        <f>ROWS($A$4:A8)</f>
        <v>5</v>
      </c>
      <c r="B8" s="142"/>
      <c r="C8" s="320"/>
      <c r="D8" s="323"/>
      <c r="E8" s="321"/>
      <c r="F8" s="321"/>
      <c r="G8" s="321"/>
      <c r="H8" s="316"/>
      <c r="I8" s="316"/>
      <c r="J8" s="324"/>
      <c r="K8" s="317"/>
      <c r="L8" s="318"/>
      <c r="M8" s="315"/>
      <c r="N8" s="315"/>
      <c r="O8" s="315"/>
      <c r="P8" s="315"/>
      <c r="Q8" s="324"/>
      <c r="R8" s="324"/>
      <c r="S8" s="324"/>
      <c r="T8" s="324"/>
      <c r="U8" s="317"/>
      <c r="V8" s="322"/>
      <c r="W8" s="60"/>
      <c r="X8" s="32"/>
      <c r="Y8" s="30"/>
    </row>
    <row r="9" spans="1:25" ht="20.100000000000001" customHeight="1" ns2:dyDescent="0.3">
      <c r="A9" s="312">
        <f>ROWS($A$4:A9)</f>
        <v>6</v>
      </c>
      <c r="B9" s="142"/>
      <c r="C9" s="320"/>
      <c r="D9" s="323"/>
      <c r="E9" s="321"/>
      <c r="F9" s="321"/>
      <c r="G9" s="321"/>
      <c r="H9" s="316"/>
      <c r="I9" s="316"/>
      <c r="J9" s="324"/>
      <c r="K9" s="317"/>
      <c r="L9" s="318"/>
      <c r="M9" s="315"/>
      <c r="N9" s="315"/>
      <c r="O9" s="315"/>
      <c r="P9" s="315"/>
      <c r="Q9" s="324"/>
      <c r="R9" s="324"/>
      <c r="S9" s="324"/>
      <c r="T9" s="324"/>
      <c r="U9" s="317"/>
      <c r="V9" s="322"/>
      <c r="W9" s="60"/>
      <c r="X9" s="32"/>
      <c r="Y9" s="30"/>
    </row>
    <row r="10" spans="1:25" ht="20.100000000000001" customHeight="1" ns2:dyDescent="0.3">
      <c r="A10" s="312">
        <f>ROWS($A$4:A10)</f>
        <v>7</v>
      </c>
      <c r="B10" s="142"/>
      <c r="C10" s="320"/>
      <c r="D10" s="323"/>
      <c r="E10" s="321"/>
      <c r="F10" s="321"/>
      <c r="G10" s="321"/>
      <c r="H10" s="316"/>
      <c r="I10" s="316"/>
      <c r="J10" s="324"/>
      <c r="K10" s="317"/>
      <c r="L10" s="318"/>
      <c r="M10" s="315"/>
      <c r="N10" s="315"/>
      <c r="O10" s="315"/>
      <c r="P10" s="315"/>
      <c r="Q10" s="324"/>
      <c r="R10" s="324"/>
      <c r="S10" s="324"/>
      <c r="T10" s="324"/>
      <c r="U10" s="317"/>
      <c r="V10" s="322"/>
      <c r="W10" s="60"/>
      <c r="X10" s="32"/>
      <c r="Y10" s="30"/>
    </row>
    <row r="11" spans="1:25" ht="20.100000000000001" customHeight="1" ns2:dyDescent="0.3">
      <c r="A11" s="312">
        <f>ROWS($A$4:A11)</f>
        <v>8</v>
      </c>
      <c r="B11" s="142"/>
      <c r="C11" s="320"/>
      <c r="D11" s="323"/>
      <c r="E11" s="321"/>
      <c r="F11" s="321"/>
      <c r="G11" s="321"/>
      <c r="H11" s="316"/>
      <c r="I11" s="316"/>
      <c r="J11" s="324"/>
      <c r="K11" s="317"/>
      <c r="L11" s="318"/>
      <c r="M11" s="315"/>
      <c r="N11" s="315"/>
      <c r="O11" s="315"/>
      <c r="P11" s="315"/>
      <c r="Q11" s="324"/>
      <c r="R11" s="324"/>
      <c r="S11" s="324"/>
      <c r="T11" s="324"/>
      <c r="U11" s="317"/>
      <c r="V11" s="322"/>
      <c r="W11" s="60"/>
      <c r="X11" s="32"/>
      <c r="Y11" s="30"/>
    </row>
    <row r="12" spans="1:25" ht="20.100000000000001" customHeight="1" ns2:dyDescent="0.3">
      <c r="A12" s="312">
        <f>ROWS($A$4:A12)</f>
        <v>9</v>
      </c>
      <c r="B12" s="142"/>
      <c r="C12" s="320"/>
      <c r="D12" s="323"/>
      <c r="E12" s="321"/>
      <c r="F12" s="321"/>
      <c r="G12" s="321"/>
      <c r="H12" s="316"/>
      <c r="I12" s="316"/>
      <c r="J12" s="324"/>
      <c r="K12" s="317"/>
      <c r="L12" s="318"/>
      <c r="M12" s="315"/>
      <c r="N12" s="315"/>
      <c r="O12" s="315"/>
      <c r="P12" s="315"/>
      <c r="Q12" s="324"/>
      <c r="R12" s="325"/>
      <c r="S12" s="324"/>
      <c r="T12" s="324"/>
      <c r="U12" s="317"/>
      <c r="V12" s="322"/>
      <c r="W12" s="60"/>
      <c r="X12" s="32"/>
      <c r="Y12" s="30"/>
    </row>
    <row r="13" spans="1:25" ht="20.100000000000001" customHeight="1" ns2:dyDescent="0.3">
      <c r="A13" s="312">
        <f>ROWS($A$4:A13)</f>
        <v>10</v>
      </c>
      <c r="B13" s="142"/>
      <c r="C13" s="320"/>
      <c r="D13" s="323"/>
      <c r="E13" s="321"/>
      <c r="F13" s="321"/>
      <c r="G13" s="321"/>
      <c r="H13" s="316"/>
      <c r="I13" s="316"/>
      <c r="J13" s="324"/>
      <c r="K13" s="317"/>
      <c r="L13" s="318"/>
      <c r="M13" s="315"/>
      <c r="N13" s="315"/>
      <c r="O13" s="315"/>
      <c r="P13" s="315"/>
      <c r="Q13" s="324"/>
      <c r="R13" s="324"/>
      <c r="S13" s="324"/>
      <c r="T13" s="324"/>
      <c r="U13" s="317"/>
      <c r="V13" s="322"/>
      <c r="W13" s="60"/>
      <c r="X13" s="32"/>
      <c r="Y13" s="30"/>
    </row>
    <row r="14" spans="1:25" ht="20.100000000000001" customHeight="1" ns2:dyDescent="0.3">
      <c r="A14" s="312">
        <f>ROWS($A$4:A14)</f>
        <v>11</v>
      </c>
      <c r="B14" s="142"/>
      <c r="C14" s="320"/>
      <c r="D14" s="323"/>
      <c r="E14" s="321"/>
      <c r="F14" s="321"/>
      <c r="G14" s="321"/>
      <c r="H14" s="316"/>
      <c r="I14" s="316"/>
      <c r="J14" s="324"/>
      <c r="K14" s="317"/>
      <c r="L14" s="318"/>
      <c r="M14" s="315"/>
      <c r="N14" s="315"/>
      <c r="O14" s="315"/>
      <c r="P14" s="315"/>
      <c r="Q14" s="324"/>
      <c r="R14" s="324"/>
      <c r="S14" s="324"/>
      <c r="T14" s="324"/>
      <c r="U14" s="317"/>
      <c r="V14" s="322"/>
      <c r="W14" s="60"/>
      <c r="X14" s="32"/>
      <c r="Y14" s="30"/>
    </row>
    <row r="15" spans="1:25" ht="20.100000000000001" customHeight="1" ns2:dyDescent="0.3">
      <c r="A15" s="312">
        <f>ROWS($A$4:A15)</f>
        <v>12</v>
      </c>
      <c r="B15" s="142"/>
      <c r="C15" s="320"/>
      <c r="D15" s="320"/>
      <c r="E15" s="321"/>
      <c r="F15" s="321"/>
      <c r="G15" s="321"/>
      <c r="H15" s="316"/>
      <c r="I15" s="316"/>
      <c r="J15" s="322"/>
      <c r="K15" s="317"/>
      <c r="L15" s="318"/>
      <c r="M15" s="315"/>
      <c r="N15" s="315"/>
      <c r="O15" s="315"/>
      <c r="P15" s="315"/>
      <c r="Q15" s="322"/>
      <c r="R15" s="322"/>
      <c r="S15" s="322"/>
      <c r="T15" s="322"/>
      <c r="U15" s="317"/>
      <c r="V15" s="322"/>
      <c r="W15" s="60"/>
      <c r="X15" s="32"/>
      <c r="Y15" s="30"/>
    </row>
    <row r="16" spans="1:25" ht="20.100000000000001" customHeight="1" ns2:dyDescent="0.3">
      <c r="A16" s="312">
        <f>ROWS($A$4:A16)</f>
        <v>13</v>
      </c>
      <c r="B16" s="142"/>
      <c r="C16" s="320"/>
      <c r="D16" s="326"/>
      <c r="E16" s="321"/>
      <c r="F16" s="321"/>
      <c r="G16" s="321"/>
      <c r="H16" s="316"/>
      <c r="I16" s="316"/>
      <c r="J16" s="317"/>
      <c r="K16" s="317"/>
      <c r="L16" s="318"/>
      <c r="M16" s="315"/>
      <c r="N16" s="315"/>
      <c r="O16" s="315"/>
      <c r="P16" s="315"/>
      <c r="Q16" s="317"/>
      <c r="R16" s="317"/>
      <c r="S16" s="324"/>
      <c r="T16" s="317"/>
      <c r="U16" s="317"/>
      <c r="V16" s="322"/>
      <c r="W16" s="60"/>
      <c r="X16" s="32"/>
      <c r="Y16" s="30"/>
    </row>
    <row r="17" spans="1:25" ht="20.100000000000001" customHeight="1" ns2:dyDescent="0.3">
      <c r="A17" s="312">
        <f>ROWS($A$4:A17)</f>
        <v>14</v>
      </c>
      <c r="B17" s="142"/>
      <c r="C17" s="320"/>
      <c r="D17" s="326"/>
      <c r="E17" s="321"/>
      <c r="F17" s="321"/>
      <c r="G17" s="321"/>
      <c r="H17" s="316"/>
      <c r="I17" s="316"/>
      <c r="J17" s="317"/>
      <c r="K17" s="317"/>
      <c r="L17" s="318"/>
      <c r="M17" s="327"/>
      <c r="N17" s="327"/>
      <c r="O17" s="327"/>
      <c r="P17" s="327"/>
      <c r="Q17" s="317"/>
      <c r="R17" s="317"/>
      <c r="S17" s="324"/>
      <c r="T17" s="317"/>
      <c r="U17" s="317"/>
      <c r="V17" s="317"/>
      <c r="W17" s="60"/>
      <c r="X17" s="32"/>
      <c r="Y17" s="30"/>
    </row>
    <row r="18" spans="1:25" ht="20.100000000000001" customHeight="1" ns2:dyDescent="0.3">
      <c r="A18" s="312">
        <f>ROWS($A$4:A18)</f>
        <v>15</v>
      </c>
      <c r="B18" s="142"/>
      <c r="C18" s="328"/>
      <c r="D18" s="326"/>
      <c r="E18" s="321"/>
      <c r="F18" s="321"/>
      <c r="G18" s="321"/>
      <c r="H18" s="316"/>
      <c r="I18" s="316"/>
      <c r="J18" s="317"/>
      <c r="K18" s="317"/>
      <c r="L18" s="318"/>
      <c r="M18" s="315"/>
      <c r="N18" s="315"/>
      <c r="O18" s="315"/>
      <c r="P18" s="315"/>
      <c r="Q18" s="317"/>
      <c r="R18" s="317"/>
      <c r="S18" s="324"/>
      <c r="T18" s="317"/>
      <c r="U18" s="317"/>
      <c r="V18" s="317"/>
      <c r="W18" s="60"/>
      <c r="X18" s="32"/>
      <c r="Y18" s="30"/>
    </row>
    <row r="19" spans="1:25" ht="20.100000000000001" customHeight="1" ns2:dyDescent="0.3">
      <c r="A19" s="312">
        <f>ROWS($A$4:A19)</f>
        <v>16</v>
      </c>
      <c r="B19" s="142"/>
      <c r="C19" s="328"/>
      <c r="D19" s="320"/>
      <c r="E19" s="321"/>
      <c r="F19" s="321"/>
      <c r="G19" s="321"/>
      <c r="H19" s="316"/>
      <c r="I19" s="316"/>
      <c r="J19" s="322"/>
      <c r="K19" s="317"/>
      <c r="L19" s="318"/>
      <c r="M19" s="315"/>
      <c r="N19" s="315"/>
      <c r="O19" s="315"/>
      <c r="P19" s="315"/>
      <c r="Q19" s="322"/>
      <c r="R19" s="322"/>
      <c r="S19" s="322"/>
      <c r="T19" s="322"/>
      <c r="U19" s="317"/>
      <c r="V19" s="322"/>
      <c r="W19" s="60"/>
      <c r="X19" s="32"/>
      <c r="Y19" s="30"/>
    </row>
    <row r="20" spans="1:25" ht="20.100000000000001" customHeight="1" ns2:dyDescent="0.3">
      <c r="A20" s="312">
        <f>ROWS($A$4:A20)</f>
        <v>17</v>
      </c>
      <c r="B20" s="142"/>
      <c r="C20" s="320"/>
      <c r="D20" s="326"/>
      <c r="E20" s="321"/>
      <c r="F20" s="321"/>
      <c r="G20" s="321"/>
      <c r="H20" s="316"/>
      <c r="I20" s="316"/>
      <c r="J20" s="317"/>
      <c r="K20" s="317"/>
      <c r="L20" s="318"/>
      <c r="M20" s="315"/>
      <c r="N20" s="315"/>
      <c r="O20" s="315"/>
      <c r="P20" s="315"/>
      <c r="Q20" s="317"/>
      <c r="R20" s="317"/>
      <c r="S20" s="322"/>
      <c r="T20" s="317"/>
      <c r="U20" s="317"/>
      <c r="V20" s="317"/>
      <c r="W20" s="60"/>
      <c r="X20" s="32"/>
      <c r="Y20" s="30"/>
    </row>
    <row r="21" spans="1:25" ht="20.100000000000001" customHeight="1" ns2:dyDescent="0.3">
      <c r="A21" s="312">
        <f>ROWS($A$4:A21)</f>
        <v>18</v>
      </c>
      <c r="B21" s="142"/>
      <c r="C21" s="320"/>
      <c r="D21" s="320"/>
      <c r="E21" s="329"/>
      <c r="F21" s="321"/>
      <c r="G21" s="321"/>
      <c r="H21" s="316"/>
      <c r="I21" s="316"/>
      <c r="J21" s="322"/>
      <c r="K21" s="317"/>
      <c r="L21" s="318"/>
      <c r="M21" s="315"/>
      <c r="N21" s="315"/>
      <c r="O21" s="315"/>
      <c r="P21" s="315"/>
      <c r="Q21" s="322"/>
      <c r="R21" s="322"/>
      <c r="S21" s="322"/>
      <c r="T21" s="322"/>
      <c r="U21" s="317"/>
      <c r="V21" s="322"/>
      <c r="W21" s="60"/>
      <c r="X21" s="32"/>
      <c r="Y21" s="30"/>
    </row>
    <row r="22" spans="1:25" ht="20.100000000000001" customHeight="1" ns2:dyDescent="0.3">
      <c r="A22" s="312">
        <f>ROWS($A$4:A22)</f>
        <v>19</v>
      </c>
      <c r="B22" s="142"/>
      <c r="C22" s="320"/>
      <c r="D22" s="320"/>
      <c r="E22" s="329"/>
      <c r="F22" s="321"/>
      <c r="G22" s="321"/>
      <c r="H22" s="316"/>
      <c r="I22" s="316"/>
      <c r="J22" s="322"/>
      <c r="K22" s="317"/>
      <c r="L22" s="318"/>
      <c r="M22" s="315"/>
      <c r="N22" s="315"/>
      <c r="O22" s="315"/>
      <c r="P22" s="315"/>
      <c r="Q22" s="322"/>
      <c r="R22" s="322"/>
      <c r="S22" s="322"/>
      <c r="T22" s="322"/>
      <c r="U22" s="317"/>
      <c r="V22" s="322"/>
      <c r="W22" s="211"/>
      <c r="X22" s="32"/>
      <c r="Y22" s="30"/>
    </row>
    <row r="23" spans="1:25" ht="20.100000000000001" customHeight="1" ns2:dyDescent="0.3">
      <c r="A23" s="312">
        <f>ROWS($A$4:A23)</f>
        <v>20</v>
      </c>
      <c r="B23" s="142"/>
      <c r="C23" s="320"/>
      <c r="D23" s="320"/>
      <c r="E23" s="321"/>
      <c r="F23" s="321"/>
      <c r="G23" s="321"/>
      <c r="H23" s="316"/>
      <c r="I23" s="316"/>
      <c r="J23" s="322"/>
      <c r="K23" s="317"/>
      <c r="L23" s="318"/>
      <c r="M23" s="315"/>
      <c r="N23" s="315"/>
      <c r="O23" s="315"/>
      <c r="P23" s="315"/>
      <c r="Q23" s="322"/>
      <c r="R23" s="322"/>
      <c r="S23" s="322"/>
      <c r="T23" s="322"/>
      <c r="U23" s="317"/>
      <c r="V23" s="322"/>
      <c r="W23" s="211"/>
      <c r="X23" s="32"/>
      <c r="Y23" s="30"/>
    </row>
    <row r="24" spans="1:25" ht="20.100000000000001" customHeight="1" ns2:dyDescent="0.3">
      <c r="A24" s="312">
        <f>ROWS($A$4:A24)</f>
        <v>21</v>
      </c>
      <c r="B24" s="313"/>
      <c r="C24" s="314"/>
      <c r="D24" s="314"/>
      <c r="E24" s="315"/>
      <c r="F24" s="315"/>
      <c r="G24" s="315"/>
      <c r="H24" s="316"/>
      <c r="I24" s="316"/>
      <c r="J24" s="315"/>
      <c r="K24" s="315"/>
      <c r="L24" s="318"/>
      <c r="M24" s="315"/>
      <c r="N24" s="315"/>
      <c r="O24" s="315"/>
      <c r="P24" s="315"/>
      <c r="Q24" s="322"/>
      <c r="R24" s="322"/>
      <c r="S24" s="322"/>
      <c r="T24" s="322"/>
      <c r="U24" s="317"/>
      <c r="V24" s="322"/>
      <c r="W24" s="211"/>
      <c r="X24" s="32"/>
      <c r="Y24" s="30"/>
    </row>
    <row r="25" spans="1:25" ht="20.100000000000001" customHeight="1" ns2:dyDescent="0.3">
      <c r="A25" s="312">
        <f>ROWS($A$4:A25)</f>
        <v>22</v>
      </c>
      <c r="B25" s="142"/>
      <c r="C25" s="320"/>
      <c r="D25" s="320"/>
      <c r="E25" s="321"/>
      <c r="F25" s="321"/>
      <c r="G25" s="321"/>
      <c r="H25" s="316"/>
      <c r="I25" s="316"/>
      <c r="J25" s="322"/>
      <c r="K25" s="315"/>
      <c r="L25" s="318"/>
      <c r="M25" s="315"/>
      <c r="N25" s="315"/>
      <c r="O25" s="315"/>
      <c r="P25" s="315"/>
      <c r="Q25" s="322"/>
      <c r="R25" s="322"/>
      <c r="S25" s="322"/>
      <c r="T25" s="322"/>
      <c r="U25" s="317"/>
      <c r="V25" s="322"/>
      <c r="W25" s="211"/>
      <c r="X25" s="32"/>
      <c r="Y25" s="30"/>
    </row>
    <row r="26" spans="1:25" ht="20.100000000000001" customHeight="1" ns2:dyDescent="0.3">
      <c r="A26" s="312">
        <f>ROWS($A$4:A26)</f>
        <v>23</v>
      </c>
      <c r="B26" s="313"/>
      <c r="C26" s="314"/>
      <c r="D26" s="314"/>
      <c r="E26" s="315"/>
      <c r="F26" s="315"/>
      <c r="G26" s="315"/>
      <c r="H26" s="316"/>
      <c r="I26" s="316"/>
      <c r="J26" s="315"/>
      <c r="K26" s="315"/>
      <c r="L26" s="318"/>
      <c r="M26" s="315"/>
      <c r="N26" s="315"/>
      <c r="O26" s="315"/>
      <c r="P26" s="315"/>
      <c r="Q26" s="322"/>
      <c r="R26" s="322"/>
      <c r="S26" s="322"/>
      <c r="T26" s="322"/>
      <c r="U26" s="317"/>
      <c r="V26" s="322"/>
      <c r="W26" s="211"/>
      <c r="X26" s="32"/>
      <c r="Y26" s="30"/>
    </row>
    <row r="27" spans="1:25" ht="20.100000000000001" customHeight="1" ns2:dyDescent="0.3">
      <c r="A27" s="312">
        <f>ROWS($A$4:A27)</f>
        <v>24</v>
      </c>
      <c r="B27" s="142"/>
      <c r="C27" s="320"/>
      <c r="D27" s="326"/>
      <c r="E27" s="321"/>
      <c r="F27" s="321"/>
      <c r="G27" s="321"/>
      <c r="H27" s="316"/>
      <c r="I27" s="316"/>
      <c r="J27" s="317"/>
      <c r="K27" s="315"/>
      <c r="L27" s="318"/>
      <c r="M27" s="315"/>
      <c r="N27" s="315"/>
      <c r="O27" s="315"/>
      <c r="P27" s="315"/>
      <c r="Q27" s="317"/>
      <c r="R27" s="317"/>
      <c r="S27" s="322"/>
      <c r="T27" s="317"/>
      <c r="U27" s="317"/>
      <c r="V27" s="317"/>
      <c r="W27" s="211"/>
      <c r="X27" s="32"/>
      <c r="Y27" s="30"/>
    </row>
    <row r="28" spans="1:25" ht="20.100000000000001" customHeight="1" ns2:dyDescent="0.3">
      <c r="A28" s="58">
        <f>ROWS($A$4:A28)</f>
        <v>25</v>
      </c>
      <c r="B28" s="143"/>
      <c r="C28" s="30"/>
      <c r="D28" s="30"/>
      <c r="E28" s="21"/>
      <c r="F28" s="21"/>
      <c r="G28" s="21"/>
      <c r="H28" s="316"/>
      <c r="I28" s="316"/>
      <c r="J28" s="21"/>
      <c r="K28" s="30"/>
      <c r="L28" s="318"/>
      <c r="M28" s="28"/>
      <c r="N28" s="28"/>
      <c r="O28" s="28"/>
      <c r="P28" s="28"/>
      <c r="Q28" s="21"/>
      <c r="R28" s="21"/>
      <c r="S28" s="21"/>
      <c r="T28" s="21"/>
      <c r="U28" s="321"/>
      <c r="W28" s="316"/>
      <c r="X28" s="32"/>
      <c r="Y28" s="30"/>
    </row>
    <row r="29" spans="1:25" s="29" customFormat="1" ht="20.100000000000001" customHeight="1" ns2:dyDescent="0.3">
      <c r="A29" s="58">
        <f>ROWS($A$4:A29)</f>
        <v>26</v>
      </c>
      <c r="B29" s="143"/>
      <c r="C29" s="30"/>
      <c r="D29" s="30"/>
      <c r="E29" s="21"/>
      <c r="F29" s="21"/>
      <c r="G29" s="21"/>
      <c r="H29" s="316"/>
      <c r="I29" s="316"/>
      <c r="J29" s="21"/>
      <c r="K29" s="30"/>
      <c r="L29" s="318"/>
      <c r="M29" s="28"/>
      <c r="N29" s="26"/>
      <c r="O29" s="28"/>
      <c r="P29" s="28"/>
      <c r="Q29" s="21"/>
      <c r="R29" s="21"/>
      <c r="S29" s="21"/>
      <c r="T29" s="21"/>
      <c r="U29" s="321"/>
      <c r="V29" s="321"/>
      <c r="W29" s="316"/>
      <c r="X29" s="32"/>
      <c r="Y29" s="212"/>
    </row>
    <row r="30" spans="1:25" ht="20.100000000000001" customHeight="1" ns2:dyDescent="0.3">
      <c r="A30" s="312">
        <f>ROWS($A$4:A30)</f>
        <v>27</v>
      </c>
      <c r="B30" s="313"/>
      <c r="C30" s="314"/>
      <c r="D30" s="314"/>
      <c r="E30" s="315"/>
      <c r="F30" s="315"/>
      <c r="G30" s="315"/>
      <c r="H30" s="316"/>
      <c r="I30" s="316"/>
      <c r="J30" s="315"/>
      <c r="K30" s="315"/>
      <c r="L30" s="321"/>
      <c r="M30" s="321"/>
      <c r="N30" s="321"/>
      <c r="O30" s="321"/>
      <c r="P30" s="321"/>
      <c r="Q30" s="322"/>
      <c r="R30" s="322"/>
      <c r="S30" s="322"/>
      <c r="T30" s="322"/>
      <c r="U30" s="322"/>
      <c r="V30" s="322"/>
      <c r="W30" s="60"/>
      <c r="X30" s="32"/>
      <c r="Y30" s="30"/>
    </row>
    <row r="31" spans="1:25" ht="20.100000000000001" customHeight="1" ns2:dyDescent="0.3">
      <c r="A31" s="312">
        <f>ROWS($A$4:A31)</f>
        <v>28</v>
      </c>
      <c r="B31" s="142"/>
      <c r="C31" s="320"/>
      <c r="D31" s="323"/>
      <c r="E31" s="321"/>
      <c r="F31" s="321"/>
      <c r="G31" s="321"/>
      <c r="H31" s="316"/>
      <c r="I31" s="316"/>
      <c r="J31" s="322"/>
      <c r="K31" s="315"/>
      <c r="L31" s="321"/>
      <c r="M31" s="315"/>
      <c r="N31" s="315"/>
      <c r="O31" s="315"/>
      <c r="P31" s="315"/>
      <c r="Q31" s="324"/>
      <c r="R31" s="324"/>
      <c r="S31" s="324"/>
      <c r="T31" s="322"/>
      <c r="U31" s="317"/>
      <c r="V31" s="322"/>
      <c r="W31" s="60"/>
      <c r="X31" s="32"/>
      <c r="Y31" s="30"/>
    </row>
    <row r="32" spans="1:25" ht="20.100000000000001" customHeight="1" ns2:dyDescent="0.3">
      <c r="A32" s="312">
        <f>ROWS($A$4:A32)</f>
        <v>29</v>
      </c>
      <c r="B32" s="142"/>
      <c r="C32" s="320"/>
      <c r="D32" s="320"/>
      <c r="E32" s="321"/>
      <c r="F32" s="321"/>
      <c r="G32" s="321"/>
      <c r="H32" s="316"/>
      <c r="I32" s="316"/>
      <c r="J32" s="322"/>
      <c r="K32" s="315"/>
      <c r="L32" s="321"/>
      <c r="M32" s="315"/>
      <c r="N32" s="315"/>
      <c r="O32" s="315"/>
      <c r="P32" s="315"/>
      <c r="Q32" s="322"/>
      <c r="R32" s="322"/>
      <c r="S32" s="322"/>
      <c r="T32" s="322"/>
      <c r="U32" s="317"/>
      <c r="V32" s="322"/>
      <c r="W32" s="60"/>
      <c r="X32" s="32"/>
      <c r="Y32" s="30"/>
    </row>
    <row r="33" spans="1:25" ht="20.100000000000001" customHeight="1" ns2:dyDescent="0.3">
      <c r="A33" s="312">
        <f>ROWS($A$4:A33)</f>
        <v>30</v>
      </c>
      <c r="B33" s="142"/>
      <c r="C33" s="320"/>
      <c r="D33" s="320"/>
      <c r="E33" s="321"/>
      <c r="F33" s="321"/>
      <c r="G33" s="321"/>
      <c r="H33" s="316"/>
      <c r="I33" s="316"/>
      <c r="J33" s="322"/>
      <c r="K33" s="315"/>
      <c r="L33" s="321"/>
      <c r="M33" s="315"/>
      <c r="N33" s="315"/>
      <c r="O33" s="315"/>
      <c r="P33" s="315"/>
      <c r="Q33" s="322"/>
      <c r="R33" s="322"/>
      <c r="S33" s="322"/>
      <c r="T33" s="322"/>
      <c r="U33" s="317"/>
      <c r="V33" s="322"/>
      <c r="W33" s="60"/>
      <c r="X33" s="32"/>
      <c r="Y33" s="30"/>
    </row>
    <row r="34" spans="1:25" ht="20.100000000000001" customHeight="1" ns2:dyDescent="0.3">
      <c r="A34" s="312">
        <f>ROWS($A$4:A34)</f>
        <v>31</v>
      </c>
      <c r="B34" s="142"/>
      <c r="C34" s="320"/>
      <c r="D34" s="320"/>
      <c r="E34" s="321"/>
      <c r="F34" s="321"/>
      <c r="G34" s="321"/>
      <c r="H34" s="316"/>
      <c r="I34" s="316"/>
      <c r="J34" s="322"/>
      <c r="K34" s="315"/>
      <c r="L34" s="321"/>
      <c r="M34" s="315"/>
      <c r="N34" s="315"/>
      <c r="O34" s="315"/>
      <c r="P34" s="315"/>
      <c r="Q34" s="322"/>
      <c r="R34" s="322"/>
      <c r="S34" s="322"/>
      <c r="T34" s="322"/>
      <c r="U34" s="317"/>
      <c r="V34" s="322"/>
      <c r="W34" s="60"/>
      <c r="X34" s="32"/>
      <c r="Y34" s="30"/>
    </row>
    <row r="35" spans="1:25" ht="20.100000000000001" customHeight="1" ns2:dyDescent="0.3">
      <c r="A35" s="312">
        <f>ROWS($A$4:A35)</f>
        <v>32</v>
      </c>
      <c r="B35" s="330"/>
      <c r="C35" s="331"/>
      <c r="D35" s="331"/>
      <c r="E35" s="316"/>
      <c r="F35" s="316"/>
      <c r="G35" s="316"/>
      <c r="H35" s="316"/>
      <c r="I35" s="316"/>
      <c r="J35" s="316"/>
      <c r="K35" s="316"/>
      <c r="L35" s="321"/>
      <c r="M35" s="315"/>
      <c r="N35" s="315"/>
      <c r="O35" s="315"/>
      <c r="P35" s="315"/>
      <c r="Q35" s="322"/>
      <c r="R35" s="322"/>
      <c r="S35" s="322"/>
      <c r="T35" s="322"/>
      <c r="U35" s="322"/>
      <c r="V35" s="322"/>
      <c r="W35" s="60"/>
      <c r="X35" s="55"/>
      <c r="Y35" s="30"/>
    </row>
    <row r="36" spans="1:25" ht="20.100000000000001" customHeight="1" ns2:dyDescent="0.3">
      <c r="A36" s="312">
        <f>ROWS($A$4:A36)</f>
        <v>33</v>
      </c>
      <c r="B36" s="313"/>
      <c r="C36" s="314"/>
      <c r="D36" s="314"/>
      <c r="E36" s="315"/>
      <c r="F36" s="315"/>
      <c r="G36" s="315"/>
      <c r="H36" s="316"/>
      <c r="I36" s="315"/>
      <c r="J36" s="315"/>
      <c r="K36" s="315"/>
      <c r="L36" s="321"/>
      <c r="M36" s="316"/>
      <c r="N36" s="316"/>
      <c r="O36" s="316"/>
      <c r="P36" s="316"/>
      <c r="Q36" s="317"/>
      <c r="R36" s="317"/>
      <c r="S36" s="322"/>
      <c r="T36" s="317"/>
      <c r="U36" s="317"/>
      <c r="V36" s="317"/>
      <c r="W36" s="60"/>
      <c r="Y36" s="30"/>
    </row>
    <row r="37" spans="1:25" ht="20.100000000000001" customHeight="1" ns2:dyDescent="0.3">
      <c r="A37" s="332"/>
      <c r="B37" s="142"/>
      <c r="C37" s="320"/>
      <c r="D37" s="326"/>
      <c r="E37" s="321"/>
      <c r="F37" s="321"/>
      <c r="G37" s="321"/>
      <c r="H37" s="315"/>
      <c r="I37" s="315"/>
      <c r="J37" s="317"/>
      <c r="K37" s="315"/>
      <c r="L37" s="321"/>
      <c r="M37" s="315"/>
      <c r="N37" s="315"/>
      <c r="O37" s="315"/>
      <c r="P37" s="315"/>
      <c r="Q37" s="317"/>
      <c r="R37" s="317"/>
      <c r="S37" s="333"/>
      <c r="T37" s="317"/>
      <c r="U37" s="317"/>
      <c r="V37" s="317"/>
      <c r="W37" s="60"/>
      <c r="Y37" s="30"/>
    </row>
    <row r="38" spans="1:25" ht="20.100000000000001" customHeight="1" ns2:dyDescent="0.3">
      <c r="A38" s="332"/>
      <c r="B38" s="142"/>
      <c r="C38" s="320"/>
      <c r="D38" s="326"/>
      <c r="E38" s="321"/>
      <c r="F38" s="321"/>
      <c r="G38" s="321"/>
      <c r="H38" s="315"/>
      <c r="I38" s="315"/>
      <c r="J38" s="317"/>
      <c r="K38" s="315"/>
      <c r="L38" s="321"/>
      <c r="M38" s="59"/>
      <c r="N38" s="59"/>
      <c r="O38" s="59"/>
      <c r="P38" s="59"/>
      <c r="Q38" s="317"/>
      <c r="R38" s="317"/>
      <c r="S38" s="322"/>
      <c r="T38" s="317"/>
      <c r="U38" s="317"/>
      <c r="V38" s="317"/>
      <c r="W38" s="60"/>
      <c r="Y38" s="30"/>
    </row>
    <row r="39" spans="1:25" ht="20.100000000000001" customHeight="1" ns2:dyDescent="0.3">
      <c r="A39" s="332"/>
      <c r="B39" s="334"/>
      <c r="C39" s="314"/>
      <c r="D39" s="314"/>
      <c r="E39" s="315"/>
      <c r="F39" s="315"/>
      <c r="G39" s="315"/>
      <c r="H39" s="315"/>
      <c r="I39" s="335"/>
      <c r="J39" s="315"/>
      <c r="K39" s="315"/>
      <c r="L39" s="321"/>
      <c r="M39" s="317"/>
      <c r="N39" s="317"/>
      <c r="O39" s="317"/>
      <c r="P39" s="317"/>
      <c r="Q39" s="317"/>
      <c r="R39" s="317"/>
      <c r="S39" s="333"/>
      <c r="T39" s="317"/>
      <c r="U39" s="317"/>
      <c r="V39" s="317"/>
      <c r="W39" s="60"/>
      <c r="Y39" s="30"/>
    </row>
    <row r="40" spans="1:25" ht="20.100000000000001" customHeight="1" ns2:dyDescent="0.3">
      <c r="A40" s="332"/>
      <c r="B40" s="334"/>
      <c r="C40" s="314"/>
      <c r="D40" s="314"/>
      <c r="E40" s="315"/>
      <c r="F40" s="315"/>
      <c r="G40" s="315"/>
      <c r="H40" s="315"/>
      <c r="I40" s="315"/>
      <c r="J40" s="315"/>
      <c r="K40" s="315"/>
      <c r="L40" s="321"/>
      <c r="M40" s="315"/>
      <c r="N40" s="315"/>
      <c r="O40" s="315"/>
      <c r="P40" s="315"/>
      <c r="Q40" s="324"/>
      <c r="R40" s="324"/>
      <c r="S40" s="324"/>
      <c r="T40" s="324"/>
      <c r="U40" s="317"/>
      <c r="V40" s="322"/>
      <c r="W40" s="60"/>
      <c r="Y40" s="30"/>
    </row>
    <row r="41" spans="1:25" ht="20.100000000000001" customHeight="1" ns2:dyDescent="0.3">
      <c r="A41" s="332"/>
      <c r="B41" s="334"/>
      <c r="C41" s="314"/>
      <c r="D41" s="314"/>
      <c r="E41" s="315"/>
      <c r="F41" s="315"/>
      <c r="G41" s="315"/>
      <c r="H41" s="315"/>
      <c r="I41" s="315"/>
      <c r="J41" s="315"/>
      <c r="K41" s="315"/>
      <c r="L41" s="321"/>
      <c r="M41" s="315"/>
      <c r="N41" s="315"/>
      <c r="O41" s="315"/>
      <c r="P41" s="315"/>
      <c r="Q41" s="322"/>
      <c r="R41" s="322"/>
      <c r="S41" s="322"/>
      <c r="T41" s="324"/>
      <c r="U41" s="324"/>
      <c r="V41" s="324"/>
      <c r="W41" s="60"/>
      <c r="Y41" s="30"/>
    </row>
    <row r="42" spans="1:25" ht="20.100000000000001" customHeight="1" ns2:dyDescent="0.3">
      <c r="A42" s="332"/>
      <c r="B42" s="336"/>
      <c r="C42" s="337"/>
      <c r="D42" s="337"/>
      <c r="E42" s="338"/>
      <c r="F42" s="338"/>
      <c r="G42" s="338"/>
      <c r="H42" s="30"/>
      <c r="I42" s="273"/>
      <c r="J42" s="338"/>
      <c r="K42" s="30"/>
      <c r="L42" s="338"/>
      <c r="M42" s="315"/>
      <c r="N42" s="315"/>
      <c r="O42" s="315"/>
      <c r="P42" s="315"/>
      <c r="Q42" s="339"/>
      <c r="R42" s="339"/>
      <c r="S42" s="339"/>
      <c r="T42" s="340"/>
      <c r="U42" s="338"/>
      <c r="V42" s="30"/>
      <c r="W42" s="60"/>
      <c r="Y42" s="30"/>
    </row>
    <row r="43" spans="1:25" ht="20.100000000000001" customHeight="1" ns2:dyDescent="0.3">
      <c r="A43" s="332"/>
      <c r="B43" s="143"/>
      <c r="C43" s="30"/>
      <c r="D43" s="30"/>
      <c r="E43" s="339"/>
      <c r="F43" s="339"/>
      <c r="G43" s="339"/>
      <c r="H43" s="308"/>
      <c r="I43" s="21"/>
      <c r="J43" s="339"/>
      <c r="K43" s="30"/>
      <c r="L43" s="339"/>
      <c r="M43" s="338"/>
      <c r="N43" s="338"/>
      <c r="O43" s="338"/>
      <c r="P43" s="338"/>
      <c r="Q43" s="338"/>
      <c r="R43" s="338"/>
      <c r="S43" s="338"/>
      <c r="T43" s="341"/>
      <c r="U43" s="338"/>
      <c r="V43" s="338"/>
      <c r="W43" s="60"/>
      <c r="Y43" s="30"/>
    </row>
    <row r="44" spans="1:25" ht="20.100000000000001" customHeight="1" ns2:dyDescent="0.3">
      <c r="A44" s="332"/>
      <c r="B44" s="340"/>
      <c r="C44" s="338"/>
      <c r="D44" s="338"/>
      <c r="E44" s="339"/>
      <c r="F44" s="339"/>
      <c r="G44" s="339"/>
      <c r="H44" s="309"/>
      <c r="I44" s="309"/>
      <c r="J44" s="339"/>
      <c r="K44" s="338"/>
      <c r="L44" s="339"/>
      <c r="M44" s="338"/>
      <c r="N44" s="338"/>
      <c r="O44" s="338"/>
      <c r="P44" s="338"/>
      <c r="Q44" s="339"/>
      <c r="R44" s="339"/>
      <c r="S44" s="339"/>
      <c r="T44" s="341"/>
      <c r="U44" s="338"/>
      <c r="V44" s="338"/>
      <c r="W44" s="60"/>
      <c r="Y44" s="30"/>
    </row>
    <row r="45" spans="1:25" ht="20.100000000000001" customHeight="1" ns2:dyDescent="0.3">
      <c r="A45" s="332"/>
      <c r="B45" s="340"/>
      <c r="C45" s="338"/>
      <c r="D45" s="338"/>
      <c r="E45" s="339"/>
      <c r="F45" s="339"/>
      <c r="G45" s="339"/>
      <c r="H45" s="309"/>
      <c r="I45" s="339"/>
      <c r="J45" s="339"/>
      <c r="K45" s="338"/>
      <c r="L45" s="339"/>
      <c r="M45" s="338"/>
      <c r="N45" s="338"/>
      <c r="O45" s="338"/>
      <c r="P45" s="338"/>
      <c r="Q45" s="339"/>
      <c r="R45" s="339"/>
      <c r="S45" s="339"/>
      <c r="T45" s="341"/>
      <c r="U45" s="338"/>
      <c r="V45" s="338"/>
      <c r="W45" s="60"/>
      <c r="Y45" s="30"/>
    </row>
    <row r="46" spans="1:25" ht="20.100000000000001" customHeight="1" ns2:dyDescent="0.3">
      <c r="A46" s="332"/>
      <c r="B46" s="340"/>
      <c r="C46" s="338"/>
      <c r="D46" s="338"/>
      <c r="E46" s="339"/>
      <c r="F46" s="339"/>
      <c r="G46" s="339"/>
      <c r="H46" s="309"/>
      <c r="I46" s="339"/>
      <c r="J46" s="339"/>
      <c r="K46" s="338"/>
      <c r="L46" s="339"/>
      <c r="M46" s="338"/>
      <c r="N46" s="338"/>
      <c r="O46" s="338"/>
      <c r="P46" s="338"/>
      <c r="Q46" s="339"/>
      <c r="R46" s="339"/>
      <c r="S46" s="339"/>
      <c r="T46" s="341"/>
      <c r="U46" s="338"/>
      <c r="V46" s="338"/>
      <c r="W46" s="60"/>
      <c r="Y46" s="30"/>
    </row>
    <row r="47" spans="1:25" ht="20.100000000000001" customHeight="1" ns2:dyDescent="0.3">
      <c r="A47" s="332"/>
      <c r="B47" s="340"/>
      <c r="C47" s="273"/>
      <c r="D47" s="338"/>
      <c r="E47" s="339"/>
      <c r="F47" s="339"/>
      <c r="G47" s="339"/>
      <c r="H47" s="309"/>
      <c r="I47" s="339"/>
      <c r="J47" s="339"/>
      <c r="K47" s="338"/>
      <c r="L47" s="339"/>
      <c r="M47" s="338"/>
      <c r="N47" s="338"/>
      <c r="O47" s="338"/>
      <c r="P47" s="338"/>
      <c r="Q47" s="339"/>
      <c r="R47" s="339"/>
      <c r="S47" s="339"/>
      <c r="T47" s="341"/>
      <c r="U47" s="338"/>
      <c r="V47" s="338"/>
      <c r="W47" s="60"/>
      <c r="Y47" s="30"/>
    </row>
    <row r="48" spans="1:25" ht="20.100000000000001" customHeight="1" ns2:dyDescent="0.3">
      <c r="A48" s="30"/>
      <c r="B48" s="143"/>
      <c r="C48" s="30"/>
      <c r="D48" s="30"/>
      <c r="E48" s="21"/>
      <c r="F48" s="21"/>
      <c r="G48" s="21"/>
      <c r="H48" s="60"/>
      <c r="I48" s="60"/>
      <c r="J48" s="21"/>
      <c r="K48" s="26"/>
      <c r="L48" s="21"/>
      <c r="M48" s="30"/>
      <c r="N48" s="26"/>
      <c r="O48" s="30"/>
      <c r="P48" s="30"/>
      <c r="Q48" s="21"/>
      <c r="R48" s="21"/>
      <c r="S48" s="21"/>
      <c r="T48" s="279"/>
      <c r="U48" s="30"/>
      <c r="V48" s="30"/>
      <c r="W48" s="60"/>
      <c r="Y48" s="30"/>
    </row>
    <row r="49" spans="1:25" ht="20.100000000000001" customHeight="1" ns2:dyDescent="0.3">
      <c r="A49" s="30"/>
      <c r="B49" s="143"/>
      <c r="C49" s="30"/>
      <c r="D49" s="30"/>
      <c r="E49" s="21"/>
      <c r="F49" s="21"/>
      <c r="G49" s="21"/>
      <c r="H49" s="60"/>
      <c r="I49" s="60"/>
      <c r="J49" s="21"/>
      <c r="K49" s="26"/>
      <c r="L49" s="21"/>
      <c r="M49" s="30"/>
      <c r="N49" s="26"/>
      <c r="O49" s="30"/>
      <c r="P49" s="30"/>
      <c r="Q49" s="21"/>
      <c r="R49" s="21"/>
      <c r="S49" s="21"/>
      <c r="T49" s="279"/>
      <c r="U49" s="30"/>
      <c r="V49" s="30"/>
      <c r="W49" s="60"/>
      <c r="Y49" s="30"/>
    </row>
    <row r="50" spans="1:25" ht="20.100000000000001" customHeight="1" ns2:dyDescent="0.3">
      <c r="A50" s="30"/>
      <c r="B50" s="143"/>
      <c r="C50" s="30"/>
      <c r="D50" s="30"/>
      <c r="E50" s="21"/>
      <c r="F50" s="21"/>
      <c r="G50" s="21"/>
      <c r="H50" s="60"/>
      <c r="I50" s="60"/>
      <c r="J50" s="21"/>
      <c r="K50" s="26"/>
      <c r="L50" s="21"/>
      <c r="M50" s="30"/>
      <c r="N50" s="26"/>
      <c r="O50" s="30"/>
      <c r="P50" s="30"/>
      <c r="Q50" s="21"/>
      <c r="R50" s="21"/>
      <c r="S50" s="21"/>
      <c r="T50" s="279"/>
      <c r="U50" s="30"/>
      <c r="V50" s="30"/>
      <c r="W50" s="60"/>
      <c r="Y50" s="30"/>
    </row>
    <row r="51" spans="1:25" ht="20.100000000000001" customHeight="1" ns2:dyDescent="0.3">
      <c r="A51" s="30"/>
      <c r="B51" s="143"/>
      <c r="C51" s="30"/>
      <c r="D51" s="30"/>
      <c r="E51" s="21"/>
      <c r="F51" s="21"/>
      <c r="G51" s="21"/>
      <c r="H51" s="60"/>
      <c r="I51" s="60"/>
      <c r="J51" s="21"/>
      <c r="K51" s="26"/>
      <c r="L51" s="21"/>
      <c r="M51" s="30"/>
      <c r="N51" s="26"/>
      <c r="O51" s="30"/>
      <c r="P51" s="30"/>
      <c r="Q51" s="21"/>
      <c r="R51" s="21"/>
      <c r="S51" s="21"/>
      <c r="T51" s="279"/>
      <c r="U51" s="30"/>
      <c r="V51" s="30"/>
      <c r="W51" s="60"/>
      <c r="Y51" s="30"/>
    </row>
    <row r="52" spans="1:25" ht="20.100000000000001" customHeight="1" ns2:dyDescent="0.3">
      <c r="A52" s="30"/>
      <c r="B52" s="143"/>
      <c r="C52" s="30"/>
      <c r="D52" s="30"/>
      <c r="E52" s="21"/>
      <c r="F52" s="21"/>
      <c r="G52" s="21"/>
      <c r="H52" s="60"/>
      <c r="I52" s="60"/>
      <c r="J52" s="21"/>
      <c r="K52" s="26"/>
      <c r="L52" s="21"/>
      <c r="M52" s="30"/>
      <c r="N52" s="26"/>
      <c r="O52" s="30"/>
      <c r="P52" s="30"/>
      <c r="Q52" s="21"/>
      <c r="R52" s="21"/>
      <c r="S52" s="21"/>
      <c r="T52" s="279"/>
      <c r="U52" s="30"/>
      <c r="V52" s="30"/>
      <c r="W52" s="60"/>
      <c r="Y52" s="30"/>
    </row>
    <row r="53" spans="1:25" ht="20.100000000000001" customHeight="1" ns2:dyDescent="0.3">
      <c r="A53" s="30"/>
      <c r="B53" s="143"/>
      <c r="C53" s="30"/>
      <c r="D53" s="30"/>
      <c r="E53" s="21"/>
      <c r="F53" s="21"/>
      <c r="G53" s="21"/>
      <c r="H53" s="60"/>
      <c r="I53" s="60"/>
      <c r="J53" s="21"/>
      <c r="K53" s="26"/>
      <c r="L53" s="21"/>
      <c r="M53" s="30"/>
      <c r="N53" s="26"/>
      <c r="O53" s="30"/>
      <c r="P53" s="30"/>
      <c r="Q53" s="21"/>
      <c r="R53" s="21"/>
      <c r="S53" s="21"/>
      <c r="T53" s="279"/>
      <c r="U53" s="30"/>
      <c r="V53" s="30"/>
      <c r="W53" s="60"/>
      <c r="Y53" s="30"/>
    </row>
    <row r="54" spans="1:25" ht="20.100000000000001" customHeight="1" ns2:dyDescent="0.3">
      <c r="A54" s="30"/>
      <c r="B54" s="143"/>
      <c r="C54" s="30"/>
      <c r="D54" s="30"/>
      <c r="E54" s="21"/>
      <c r="F54" s="21"/>
      <c r="G54" s="21"/>
      <c r="H54" s="60"/>
      <c r="I54" s="60"/>
      <c r="J54" s="21"/>
      <c r="K54" s="26"/>
      <c r="L54" s="21"/>
      <c r="M54" s="30"/>
      <c r="N54" s="26"/>
      <c r="O54" s="30"/>
      <c r="P54" s="30"/>
      <c r="Q54" s="21"/>
      <c r="R54" s="21"/>
      <c r="S54" s="21"/>
      <c r="T54" s="279"/>
      <c r="U54" s="30"/>
      <c r="V54" s="30"/>
      <c r="W54" s="60"/>
      <c r="Y54" s="30"/>
    </row>
    <row r="55" spans="1:25" ht="20.100000000000001" customHeight="1" ns2:dyDescent="0.3">
      <c r="A55" s="30"/>
      <c r="B55" s="143"/>
      <c r="C55" s="30"/>
      <c r="D55" s="30"/>
      <c r="E55" s="21"/>
      <c r="F55" s="21"/>
      <c r="G55" s="21"/>
      <c r="H55" s="60"/>
      <c r="I55" s="60"/>
      <c r="J55" s="21"/>
      <c r="K55" s="26"/>
      <c r="L55" s="21"/>
      <c r="M55" s="30"/>
      <c r="N55" s="26"/>
      <c r="O55" s="30"/>
      <c r="P55" s="30"/>
      <c r="Q55" s="21"/>
      <c r="R55" s="21"/>
      <c r="S55" s="21"/>
      <c r="T55" s="279"/>
      <c r="U55" s="30"/>
      <c r="V55" s="30"/>
      <c r="W55" s="60"/>
      <c r="Y55" s="30"/>
    </row>
    <row r="56" spans="1:25" ht="20.100000000000001" customHeight="1" ns2:dyDescent="0.3">
      <c r="A56" s="30"/>
      <c r="B56" s="143"/>
      <c r="C56" s="30"/>
      <c r="D56" s="30"/>
      <c r="E56" s="21"/>
      <c r="F56" s="21"/>
      <c r="G56" s="21"/>
      <c r="H56" s="60"/>
      <c r="I56" s="60"/>
      <c r="J56" s="21"/>
      <c r="K56" s="26"/>
      <c r="L56" s="21"/>
      <c r="M56" s="30"/>
      <c r="N56" s="26"/>
      <c r="O56" s="30"/>
      <c r="P56" s="30"/>
      <c r="Q56" s="21"/>
      <c r="R56" s="21"/>
      <c r="S56" s="21"/>
      <c r="T56" s="279"/>
      <c r="U56" s="30"/>
      <c r="V56" s="30"/>
      <c r="W56" s="60"/>
      <c r="Y56" s="30"/>
    </row>
    <row r="57" spans="1:25" ht="20.100000000000001" customHeight="1" ns2:dyDescent="0.3">
      <c r="A57" s="30"/>
      <c r="B57" s="143"/>
      <c r="C57" s="30"/>
      <c r="D57" s="30"/>
      <c r="E57" s="21"/>
      <c r="F57" s="21"/>
      <c r="G57" s="21"/>
      <c r="H57" s="60"/>
      <c r="I57" s="60"/>
      <c r="J57" s="21"/>
      <c r="K57" s="26"/>
      <c r="L57" s="21"/>
      <c r="M57" s="30"/>
      <c r="N57" s="26"/>
      <c r="O57" s="30"/>
      <c r="P57" s="30"/>
      <c r="Q57" s="21"/>
      <c r="R57" s="21"/>
      <c r="S57" s="21"/>
      <c r="T57" s="279"/>
      <c r="U57" s="30"/>
      <c r="V57" s="30"/>
      <c r="W57" s="60"/>
      <c r="Y57" s="30"/>
    </row>
    <row r="58" spans="1:25" ht="20.100000000000001" customHeight="1" ns2:dyDescent="0.3">
      <c r="A58" s="30"/>
      <c r="B58" s="143"/>
      <c r="C58" s="30"/>
      <c r="D58" s="30"/>
      <c r="E58" s="21"/>
      <c r="F58" s="21"/>
      <c r="G58" s="21"/>
      <c r="H58" s="60"/>
      <c r="I58" s="60"/>
      <c r="J58" s="21"/>
      <c r="K58" s="26"/>
      <c r="L58" s="21"/>
      <c r="M58" s="30"/>
      <c r="N58" s="26"/>
      <c r="O58" s="30"/>
      <c r="P58" s="30"/>
      <c r="Q58" s="21"/>
      <c r="R58" s="21"/>
      <c r="S58" s="21"/>
      <c r="T58" s="279"/>
      <c r="U58" s="30"/>
      <c r="V58" s="30"/>
      <c r="W58" s="60"/>
      <c r="Y58" s="30"/>
    </row>
    <row r="59" spans="1:25" ht="20.100000000000001" customHeight="1" ns2:dyDescent="0.3">
      <c r="A59" s="30"/>
      <c r="B59" s="143"/>
      <c r="C59" s="30"/>
      <c r="D59" s="30"/>
      <c r="E59" s="21"/>
      <c r="F59" s="21"/>
      <c r="G59" s="21"/>
      <c r="H59" s="60"/>
      <c r="I59" s="60"/>
      <c r="J59" s="21"/>
      <c r="K59" s="26"/>
      <c r="L59" s="21"/>
      <c r="M59" s="30"/>
      <c r="N59" s="26"/>
      <c r="O59" s="30"/>
      <c r="P59" s="30"/>
      <c r="Q59" s="21"/>
      <c r="R59" s="21"/>
      <c r="S59" s="21"/>
      <c r="T59" s="279"/>
      <c r="U59" s="30"/>
      <c r="V59" s="30"/>
      <c r="W59" s="60"/>
      <c r="Y59" s="30"/>
    </row>
    <row r="60" spans="1:25" ht="20.100000000000001" customHeight="1" ns2:dyDescent="0.3">
      <c r="A60" s="30"/>
      <c r="B60" s="143"/>
      <c r="C60" s="30"/>
      <c r="D60" s="30"/>
      <c r="E60" s="21"/>
      <c r="F60" s="21"/>
      <c r="G60" s="21"/>
      <c r="H60" s="60"/>
      <c r="I60" s="60"/>
      <c r="J60" s="21"/>
      <c r="K60" s="26"/>
      <c r="L60" s="21"/>
      <c r="M60" s="30"/>
      <c r="N60" s="26"/>
      <c r="O60" s="30"/>
      <c r="P60" s="30"/>
      <c r="Q60" s="21"/>
      <c r="R60" s="21"/>
      <c r="S60" s="21"/>
      <c r="T60" s="279"/>
      <c r="U60" s="30"/>
      <c r="V60" s="30"/>
      <c r="W60" s="60"/>
      <c r="Y60" s="30"/>
    </row>
    <row r="61" spans="1:25" ht="20.100000000000001" customHeight="1" ns2:dyDescent="0.3">
      <c r="A61" s="30"/>
      <c r="B61" s="143"/>
      <c r="C61" s="30"/>
      <c r="D61" s="30"/>
      <c r="E61" s="21"/>
      <c r="F61" s="21"/>
      <c r="G61" s="21"/>
      <c r="H61" s="60"/>
      <c r="I61" s="60"/>
      <c r="J61" s="21"/>
      <c r="K61" s="26"/>
      <c r="L61" s="21"/>
      <c r="M61" s="30"/>
      <c r="N61" s="26"/>
      <c r="O61" s="30"/>
      <c r="P61" s="30"/>
      <c r="Q61" s="21"/>
      <c r="R61" s="21"/>
      <c r="S61" s="21"/>
      <c r="T61" s="279"/>
      <c r="U61" s="30"/>
      <c r="V61" s="30"/>
      <c r="W61" s="60"/>
      <c r="Y61" s="30"/>
    </row>
    <row r="62" spans="1:25" ht="20.100000000000001" customHeight="1" ns2:dyDescent="0.3">
      <c r="A62" s="30"/>
      <c r="B62" s="143"/>
      <c r="C62" s="30"/>
      <c r="D62" s="30"/>
      <c r="E62" s="21"/>
      <c r="F62" s="21"/>
      <c r="G62" s="21"/>
      <c r="H62" s="60"/>
      <c r="I62" s="60"/>
      <c r="J62" s="21"/>
      <c r="K62" s="26"/>
      <c r="L62" s="21"/>
      <c r="M62" s="30"/>
      <c r="N62" s="26"/>
      <c r="O62" s="30"/>
      <c r="P62" s="30"/>
      <c r="Q62" s="21"/>
      <c r="R62" s="21"/>
      <c r="S62" s="21"/>
      <c r="T62" s="279"/>
      <c r="U62" s="30"/>
      <c r="V62" s="30"/>
      <c r="W62" s="60"/>
      <c r="Y62" s="30"/>
    </row>
    <row r="63" spans="1:25" ht="20.100000000000001" customHeight="1" ns2:dyDescent="0.3">
      <c r="A63" s="30"/>
      <c r="B63" s="143"/>
      <c r="C63" s="30"/>
      <c r="D63" s="30"/>
      <c r="E63" s="21"/>
      <c r="F63" s="21"/>
      <c r="G63" s="21"/>
      <c r="H63" s="60"/>
      <c r="I63" s="60"/>
      <c r="J63" s="21"/>
      <c r="K63" s="26"/>
      <c r="L63" s="21"/>
      <c r="M63" s="30"/>
      <c r="N63" s="26"/>
      <c r="O63" s="30"/>
      <c r="P63" s="30"/>
      <c r="Q63" s="21"/>
      <c r="R63" s="21"/>
      <c r="S63" s="21"/>
      <c r="T63" s="279"/>
      <c r="U63" s="30"/>
      <c r="V63" s="30"/>
      <c r="W63" s="60"/>
      <c r="Y63" s="30"/>
    </row>
    <row r="64" spans="1:25" ht="20.100000000000001" customHeight="1" ns2:dyDescent="0.3">
      <c r="A64" s="30"/>
      <c r="B64" s="143"/>
      <c r="C64" s="30"/>
      <c r="D64" s="30"/>
      <c r="E64" s="21"/>
      <c r="F64" s="21"/>
      <c r="G64" s="21"/>
      <c r="H64" s="60"/>
      <c r="I64" s="60"/>
      <c r="J64" s="21"/>
      <c r="K64" s="26"/>
      <c r="L64" s="21"/>
      <c r="M64" s="30"/>
      <c r="N64" s="26"/>
      <c r="O64" s="30"/>
      <c r="P64" s="30"/>
      <c r="Q64" s="21"/>
      <c r="R64" s="21"/>
      <c r="S64" s="21"/>
      <c r="T64" s="279"/>
      <c r="U64" s="30"/>
      <c r="V64" s="30"/>
      <c r="W64" s="60"/>
      <c r="Y64" s="30"/>
    </row>
    <row r="65" spans="1:25" ht="20.100000000000001" customHeight="1" ns2:dyDescent="0.3">
      <c r="A65" s="30"/>
      <c r="B65" s="143"/>
      <c r="C65" s="30"/>
      <c r="D65" s="30"/>
      <c r="E65" s="21"/>
      <c r="F65" s="21"/>
      <c r="G65" s="21"/>
      <c r="H65" s="60"/>
      <c r="I65" s="60"/>
      <c r="J65" s="21"/>
      <c r="K65" s="26"/>
      <c r="L65" s="21"/>
      <c r="M65" s="30"/>
      <c r="N65" s="26"/>
      <c r="O65" s="30"/>
      <c r="P65" s="30"/>
      <c r="Q65" s="21"/>
      <c r="R65" s="21"/>
      <c r="S65" s="21"/>
      <c r="T65" s="279"/>
      <c r="U65" s="30"/>
      <c r="V65" s="30"/>
      <c r="W65" s="60"/>
      <c r="Y65" s="30"/>
    </row>
    <row r="66" spans="1:25" ht="20.100000000000001" customHeight="1" ns2:dyDescent="0.3">
      <c r="A66" s="30"/>
      <c r="B66" s="143"/>
      <c r="C66" s="30"/>
      <c r="D66" s="30"/>
      <c r="E66" s="21"/>
      <c r="F66" s="21"/>
      <c r="G66" s="21"/>
      <c r="H66" s="60"/>
      <c r="I66" s="60"/>
      <c r="J66" s="21"/>
      <c r="K66" s="26"/>
      <c r="L66" s="21"/>
      <c r="M66" s="30"/>
      <c r="N66" s="26"/>
      <c r="O66" s="30"/>
      <c r="P66" s="30"/>
      <c r="Q66" s="21"/>
      <c r="R66" s="21"/>
      <c r="S66" s="21"/>
      <c r="T66" s="279"/>
      <c r="U66" s="30"/>
      <c r="V66" s="30"/>
      <c r="W66" s="60"/>
      <c r="Y66" s="30"/>
    </row>
    <row r="67" spans="1:25" ht="20.100000000000001" customHeight="1" ns2:dyDescent="0.3">
      <c r="A67" s="30"/>
      <c r="B67" s="143"/>
      <c r="C67" s="30"/>
      <c r="D67" s="30"/>
      <c r="E67" s="21"/>
      <c r="F67" s="21"/>
      <c r="G67" s="21"/>
      <c r="H67" s="60"/>
      <c r="I67" s="60"/>
      <c r="J67" s="21"/>
      <c r="K67" s="26"/>
      <c r="L67" s="21"/>
      <c r="M67" s="30"/>
      <c r="N67" s="26"/>
      <c r="O67" s="30"/>
      <c r="P67" s="30"/>
      <c r="Q67" s="21"/>
      <c r="R67" s="21"/>
      <c r="S67" s="21"/>
      <c r="T67" s="279"/>
      <c r="U67" s="30"/>
      <c r="V67" s="30"/>
      <c r="W67" s="60"/>
      <c r="Y67" s="30"/>
    </row>
    <row r="68" spans="1:25" ht="20.100000000000001" customHeight="1" ns2:dyDescent="0.3">
      <c r="A68" s="30"/>
      <c r="B68" s="143"/>
      <c r="C68" s="30"/>
      <c r="D68" s="30"/>
      <c r="E68" s="21"/>
      <c r="F68" s="21"/>
      <c r="G68" s="21"/>
      <c r="H68" s="60"/>
      <c r="I68" s="60"/>
      <c r="J68" s="21"/>
      <c r="K68" s="26"/>
      <c r="L68" s="21"/>
      <c r="M68" s="30"/>
      <c r="N68" s="26"/>
      <c r="O68" s="30"/>
      <c r="P68" s="30"/>
      <c r="Q68" s="21"/>
      <c r="R68" s="21"/>
      <c r="S68" s="21"/>
      <c r="T68" s="279"/>
      <c r="U68" s="30"/>
      <c r="V68" s="30"/>
      <c r="W68" s="60"/>
      <c r="Y68" s="30"/>
    </row>
    <row r="69" spans="1:25" ht="20.100000000000001" customHeight="1" ns2:dyDescent="0.3">
      <c r="A69" s="30"/>
      <c r="B69" s="143"/>
      <c r="C69" s="30"/>
      <c r="D69" s="30"/>
      <c r="E69" s="21"/>
      <c r="F69" s="21"/>
      <c r="G69" s="21"/>
      <c r="H69" s="60"/>
      <c r="I69" s="60"/>
      <c r="J69" s="21"/>
      <c r="K69" s="26"/>
      <c r="L69" s="21"/>
      <c r="M69" s="30"/>
      <c r="N69" s="26"/>
      <c r="O69" s="30"/>
      <c r="P69" s="30"/>
      <c r="Q69" s="21"/>
      <c r="R69" s="21"/>
      <c r="S69" s="21"/>
      <c r="T69" s="279"/>
      <c r="U69" s="30"/>
      <c r="V69" s="30"/>
      <c r="W69" s="60"/>
      <c r="Y69" s="30"/>
    </row>
    <row r="70" spans="1:25" ht="20.100000000000001" customHeight="1" ns2:dyDescent="0.3">
      <c r="A70" s="30"/>
      <c r="B70" s="143"/>
      <c r="C70" s="30"/>
      <c r="D70" s="30"/>
      <c r="E70" s="21"/>
      <c r="F70" s="21"/>
      <c r="G70" s="21"/>
      <c r="H70" s="60"/>
      <c r="I70" s="60"/>
      <c r="J70" s="21"/>
      <c r="K70" s="26"/>
      <c r="L70" s="21"/>
      <c r="M70" s="30"/>
      <c r="N70" s="26"/>
      <c r="O70" s="30"/>
      <c r="P70" s="30"/>
      <c r="Q70" s="21"/>
      <c r="R70" s="21"/>
      <c r="S70" s="21"/>
      <c r="T70" s="279"/>
      <c r="U70" s="30"/>
      <c r="V70" s="30"/>
      <c r="W70" s="60"/>
      <c r="Y70" s="30"/>
    </row>
    <row r="71" spans="1:25" ht="20.100000000000001" customHeight="1" ns2:dyDescent="0.3">
      <c r="A71" s="30"/>
      <c r="B71" s="143"/>
      <c r="C71" s="30"/>
      <c r="D71" s="30"/>
      <c r="E71" s="21"/>
      <c r="F71" s="21"/>
      <c r="G71" s="21"/>
      <c r="H71" s="60"/>
      <c r="I71" s="60"/>
      <c r="J71" s="21"/>
      <c r="K71" s="26"/>
      <c r="L71" s="21"/>
      <c r="M71" s="30"/>
      <c r="N71" s="26"/>
      <c r="O71" s="30"/>
      <c r="P71" s="30"/>
      <c r="Q71" s="21"/>
      <c r="R71" s="21"/>
      <c r="S71" s="21"/>
      <c r="T71" s="279"/>
      <c r="U71" s="30"/>
      <c r="V71" s="30"/>
      <c r="W71" s="60"/>
      <c r="Y71" s="30"/>
    </row>
    <row r="72" spans="1:25" ht="20.100000000000001" customHeight="1" ns2:dyDescent="0.3">
      <c r="A72" s="30"/>
      <c r="B72" s="143"/>
      <c r="C72" s="30"/>
      <c r="D72" s="30"/>
      <c r="E72" s="21"/>
      <c r="F72" s="21"/>
      <c r="G72" s="21"/>
      <c r="H72" s="60"/>
      <c r="I72" s="60"/>
      <c r="J72" s="21"/>
      <c r="K72" s="26"/>
      <c r="L72" s="21"/>
      <c r="M72" s="30"/>
      <c r="N72" s="26"/>
      <c r="O72" s="30"/>
      <c r="P72" s="30"/>
      <c r="Q72" s="21"/>
      <c r="R72" s="21"/>
      <c r="S72" s="21"/>
      <c r="T72" s="279"/>
      <c r="U72" s="30"/>
      <c r="V72" s="30"/>
      <c r="W72" s="60"/>
      <c r="Y72" s="30"/>
    </row>
    <row r="73" spans="1:25" ht="20.100000000000001" customHeight="1" ns2:dyDescent="0.3">
      <c r="A73" s="30"/>
      <c r="B73" s="143"/>
      <c r="C73" s="30"/>
      <c r="D73" s="30"/>
      <c r="E73" s="21"/>
      <c r="F73" s="21"/>
      <c r="G73" s="21"/>
      <c r="H73" s="60"/>
      <c r="I73" s="60"/>
      <c r="J73" s="21"/>
      <c r="K73" s="26"/>
      <c r="L73" s="21"/>
      <c r="M73" s="30"/>
      <c r="N73" s="26"/>
      <c r="O73" s="30"/>
      <c r="P73" s="30"/>
      <c r="Q73" s="21"/>
      <c r="R73" s="21"/>
      <c r="S73" s="21"/>
      <c r="T73" s="279"/>
      <c r="U73" s="30"/>
      <c r="V73" s="30"/>
      <c r="W73" s="60"/>
      <c r="Y73" s="30"/>
    </row>
    <row r="74" spans="1:25" ht="20.100000000000001" customHeight="1" ns2:dyDescent="0.3">
      <c r="A74" s="30"/>
      <c r="B74" s="143"/>
      <c r="C74" s="30"/>
      <c r="D74" s="30"/>
      <c r="E74" s="21"/>
      <c r="F74" s="21"/>
      <c r="G74" s="21"/>
      <c r="H74" s="60"/>
      <c r="I74" s="60"/>
      <c r="J74" s="21"/>
      <c r="K74" s="26"/>
      <c r="L74" s="21"/>
      <c r="M74" s="30"/>
      <c r="N74" s="26"/>
      <c r="O74" s="30"/>
      <c r="P74" s="30"/>
      <c r="Q74" s="21"/>
      <c r="R74" s="21"/>
      <c r="S74" s="21"/>
      <c r="T74" s="279"/>
      <c r="U74" s="30"/>
      <c r="V74" s="30"/>
      <c r="W74" s="60"/>
      <c r="Y74" s="30"/>
    </row>
    <row r="75" spans="1:25" ht="20.100000000000001" customHeight="1" ns2:dyDescent="0.3">
      <c r="A75" s="30"/>
      <c r="B75" s="143"/>
      <c r="C75" s="30"/>
      <c r="D75" s="30"/>
      <c r="E75" s="21"/>
      <c r="F75" s="21"/>
      <c r="G75" s="21"/>
      <c r="H75" s="60"/>
      <c r="I75" s="60"/>
      <c r="J75" s="21"/>
      <c r="K75" s="26"/>
      <c r="L75" s="21"/>
      <c r="M75" s="30"/>
      <c r="N75" s="26"/>
      <c r="O75" s="30"/>
      <c r="P75" s="30"/>
      <c r="Q75" s="21"/>
      <c r="R75" s="21"/>
      <c r="S75" s="21"/>
      <c r="T75" s="279"/>
      <c r="U75" s="30"/>
      <c r="V75" s="30"/>
      <c r="W75" s="60"/>
      <c r="Y75" s="30"/>
    </row>
    <row r="76" spans="1:25" ht="20.100000000000001" customHeight="1" ns2:dyDescent="0.3">
      <c r="A76" s="30"/>
      <c r="B76" s="143"/>
      <c r="C76" s="30"/>
      <c r="D76" s="30"/>
      <c r="E76" s="21"/>
      <c r="F76" s="21"/>
      <c r="G76" s="21"/>
      <c r="H76" s="60"/>
      <c r="I76" s="60"/>
      <c r="J76" s="21"/>
      <c r="K76" s="26"/>
      <c r="L76" s="21"/>
      <c r="M76" s="30"/>
      <c r="N76" s="26"/>
      <c r="O76" s="30"/>
      <c r="P76" s="30"/>
      <c r="Q76" s="21"/>
      <c r="R76" s="21"/>
      <c r="S76" s="21"/>
      <c r="T76" s="279"/>
      <c r="U76" s="30"/>
      <c r="V76" s="30"/>
      <c r="W76" s="60"/>
      <c r="Y76" s="30"/>
    </row>
    <row r="77" spans="1:25" ht="20.100000000000001" customHeight="1" ns2:dyDescent="0.3">
      <c r="A77" s="30"/>
      <c r="B77" s="143"/>
      <c r="C77" s="30"/>
      <c r="D77" s="30"/>
      <c r="E77" s="21"/>
      <c r="F77" s="21"/>
      <c r="G77" s="21"/>
      <c r="H77" s="60"/>
      <c r="I77" s="60"/>
      <c r="J77" s="21"/>
      <c r="K77" s="26"/>
      <c r="L77" s="21"/>
      <c r="M77" s="30"/>
      <c r="N77" s="26"/>
      <c r="O77" s="30"/>
      <c r="P77" s="30"/>
      <c r="Q77" s="21"/>
      <c r="R77" s="21"/>
      <c r="S77" s="21"/>
      <c r="T77" s="279"/>
      <c r="U77" s="30"/>
      <c r="V77" s="30"/>
      <c r="W77" s="60"/>
      <c r="Y77" s="30"/>
    </row>
    <row r="78" spans="1:25" ht="20.100000000000001" customHeight="1" ns2:dyDescent="0.3">
      <c r="A78" s="30"/>
      <c r="B78" s="143"/>
      <c r="C78" s="30"/>
      <c r="D78" s="30"/>
      <c r="E78" s="21"/>
      <c r="F78" s="21"/>
      <c r="G78" s="21"/>
      <c r="H78" s="60"/>
      <c r="I78" s="60"/>
      <c r="J78" s="21"/>
      <c r="K78" s="26"/>
      <c r="L78" s="21"/>
      <c r="M78" s="30"/>
      <c r="N78" s="26"/>
      <c r="O78" s="30"/>
      <c r="P78" s="30"/>
      <c r="Q78" s="21"/>
      <c r="R78" s="21"/>
      <c r="S78" s="21"/>
      <c r="T78" s="279"/>
      <c r="U78" s="30"/>
      <c r="V78" s="30"/>
      <c r="W78" s="60"/>
      <c r="Y78" s="30"/>
    </row>
    <row r="79" spans="1:25" ht="20.100000000000001" customHeight="1" ns2:dyDescent="0.3">
      <c r="A79" s="30"/>
      <c r="B79" s="143"/>
      <c r="C79" s="30"/>
      <c r="D79" s="30"/>
      <c r="E79" s="21"/>
      <c r="F79" s="21"/>
      <c r="G79" s="21"/>
      <c r="H79" s="60"/>
      <c r="I79" s="60"/>
      <c r="J79" s="21"/>
      <c r="K79" s="26"/>
      <c r="L79" s="21"/>
      <c r="M79" s="30"/>
      <c r="N79" s="26"/>
      <c r="O79" s="30"/>
      <c r="P79" s="30"/>
      <c r="Q79" s="21"/>
      <c r="R79" s="21"/>
      <c r="S79" s="21"/>
      <c r="T79" s="279"/>
      <c r="U79" s="30"/>
      <c r="V79" s="30"/>
      <c r="W79" s="60"/>
      <c r="Y79" s="30"/>
    </row>
    <row r="80" spans="1:25" ht="20.100000000000001" customHeight="1" ns2:dyDescent="0.3">
      <c r="A80" s="30"/>
      <c r="B80" s="143"/>
      <c r="C80" s="30"/>
      <c r="D80" s="30"/>
      <c r="E80" s="21"/>
      <c r="F80" s="21"/>
      <c r="G80" s="21"/>
      <c r="H80" s="60"/>
      <c r="I80" s="60"/>
      <c r="J80" s="21"/>
      <c r="K80" s="26"/>
      <c r="L80" s="21"/>
      <c r="M80" s="30"/>
      <c r="N80" s="26"/>
      <c r="O80" s="30"/>
      <c r="P80" s="30"/>
      <c r="Q80" s="21"/>
      <c r="R80" s="21"/>
      <c r="S80" s="21"/>
      <c r="T80" s="279"/>
      <c r="U80" s="30"/>
      <c r="V80" s="30"/>
      <c r="W80" s="60"/>
      <c r="Y80" s="30"/>
    </row>
    <row r="81" spans="1:25" ht="20.100000000000001" customHeight="1" ns2:dyDescent="0.3">
      <c r="A81" s="30"/>
      <c r="B81" s="143"/>
      <c r="C81" s="30"/>
      <c r="D81" s="30"/>
      <c r="E81" s="21"/>
      <c r="F81" s="21"/>
      <c r="G81" s="21"/>
      <c r="H81" s="60"/>
      <c r="I81" s="60"/>
      <c r="J81" s="21"/>
      <c r="K81" s="26"/>
      <c r="L81" s="21"/>
      <c r="M81" s="30"/>
      <c r="N81" s="26"/>
      <c r="O81" s="30"/>
      <c r="P81" s="30"/>
      <c r="Q81" s="21"/>
      <c r="R81" s="21"/>
      <c r="S81" s="21"/>
      <c r="T81" s="279"/>
      <c r="U81" s="30"/>
      <c r="V81" s="30"/>
      <c r="W81" s="60"/>
      <c r="Y81" s="30"/>
    </row>
    <row r="82" spans="1:25" ht="20.100000000000001" customHeight="1" ns2:dyDescent="0.3">
      <c r="A82" s="30"/>
      <c r="B82" s="143"/>
      <c r="C82" s="30"/>
      <c r="D82" s="30"/>
      <c r="E82" s="21"/>
      <c r="F82" s="21"/>
      <c r="G82" s="21"/>
      <c r="H82" s="60"/>
      <c r="I82" s="60"/>
      <c r="J82" s="21"/>
      <c r="K82" s="26"/>
      <c r="L82" s="21"/>
      <c r="M82" s="30"/>
      <c r="N82" s="26"/>
      <c r="O82" s="30"/>
      <c r="P82" s="30"/>
      <c r="Q82" s="21"/>
      <c r="R82" s="21"/>
      <c r="S82" s="21"/>
      <c r="T82" s="279"/>
      <c r="U82" s="30"/>
      <c r="V82" s="30"/>
      <c r="W82" s="60"/>
      <c r="Y82" s="30"/>
    </row>
    <row r="83" spans="1:25" ht="20.100000000000001" customHeight="1" ns2:dyDescent="0.3">
      <c r="A83" s="30"/>
      <c r="B83" s="143"/>
      <c r="C83" s="30"/>
      <c r="D83" s="30"/>
      <c r="E83" s="21"/>
      <c r="F83" s="21"/>
      <c r="G83" s="21"/>
      <c r="H83" s="60"/>
      <c r="I83" s="60"/>
      <c r="J83" s="21"/>
      <c r="K83" s="26"/>
      <c r="L83" s="21"/>
      <c r="M83" s="30"/>
      <c r="N83" s="26"/>
      <c r="O83" s="30"/>
      <c r="P83" s="30"/>
      <c r="Q83" s="21"/>
      <c r="R83" s="21"/>
      <c r="S83" s="21"/>
      <c r="T83" s="279"/>
      <c r="U83" s="30"/>
      <c r="V83" s="30"/>
      <c r="W83" s="60"/>
      <c r="Y83" s="30"/>
    </row>
    <row r="84" spans="1:25" ht="20.100000000000001" customHeight="1" ns2:dyDescent="0.3">
      <c r="A84" s="30"/>
      <c r="B84" s="143"/>
      <c r="C84" s="30"/>
      <c r="D84" s="30"/>
      <c r="E84" s="21"/>
      <c r="F84" s="21"/>
      <c r="G84" s="21"/>
      <c r="H84" s="60"/>
      <c r="I84" s="60"/>
      <c r="J84" s="21"/>
      <c r="K84" s="26"/>
      <c r="L84" s="21"/>
      <c r="M84" s="30"/>
      <c r="N84" s="26"/>
      <c r="O84" s="30"/>
      <c r="P84" s="30"/>
      <c r="Q84" s="21"/>
      <c r="R84" s="21"/>
      <c r="S84" s="21"/>
      <c r="T84" s="279"/>
      <c r="U84" s="30"/>
      <c r="V84" s="30"/>
      <c r="W84" s="60"/>
      <c r="Y84" s="30"/>
    </row>
    <row r="85" spans="1:25" ht="20.100000000000001" customHeight="1" ns2:dyDescent="0.3">
      <c r="A85" s="30"/>
      <c r="B85" s="143"/>
      <c r="C85" s="30"/>
      <c r="D85" s="30"/>
      <c r="E85" s="21"/>
      <c r="F85" s="21"/>
      <c r="G85" s="21"/>
      <c r="H85" s="60"/>
      <c r="I85" s="60"/>
      <c r="J85" s="21"/>
      <c r="K85" s="26"/>
      <c r="L85" s="21"/>
      <c r="M85" s="30"/>
      <c r="N85" s="26"/>
      <c r="O85" s="30"/>
      <c r="P85" s="30"/>
      <c r="Q85" s="21"/>
      <c r="R85" s="21"/>
      <c r="S85" s="21"/>
      <c r="T85" s="279"/>
      <c r="U85" s="30"/>
      <c r="V85" s="30"/>
      <c r="W85" s="60"/>
      <c r="Y85" s="30"/>
    </row>
    <row r="86" spans="1:25" ht="20.100000000000001" customHeight="1" ns2:dyDescent="0.3">
      <c r="A86" s="30"/>
      <c r="B86" s="143"/>
      <c r="C86" s="30"/>
      <c r="D86" s="30"/>
      <c r="E86" s="21"/>
      <c r="F86" s="21"/>
      <c r="G86" s="21"/>
      <c r="H86" s="60"/>
      <c r="I86" s="60"/>
      <c r="J86" s="21"/>
      <c r="K86" s="26"/>
      <c r="L86" s="21"/>
      <c r="M86" s="30"/>
      <c r="N86" s="26"/>
      <c r="O86" s="30"/>
      <c r="P86" s="30"/>
      <c r="Q86" s="21"/>
      <c r="R86" s="21"/>
      <c r="S86" s="21"/>
      <c r="T86" s="279"/>
      <c r="U86" s="30"/>
      <c r="V86" s="30"/>
      <c r="W86" s="60"/>
      <c r="Y86" s="30"/>
    </row>
    <row r="87" spans="1:25" ht="20.100000000000001" customHeight="1" ns2:dyDescent="0.3">
      <c r="A87" s="30"/>
      <c r="B87" s="143"/>
      <c r="C87" s="30"/>
      <c r="D87" s="30"/>
      <c r="E87" s="21"/>
      <c r="F87" s="21"/>
      <c r="G87" s="21"/>
      <c r="H87" s="60"/>
      <c r="I87" s="60"/>
      <c r="J87" s="21"/>
      <c r="K87" s="26"/>
      <c r="L87" s="21"/>
      <c r="M87" s="30"/>
      <c r="N87" s="26"/>
      <c r="O87" s="30"/>
      <c r="P87" s="30"/>
      <c r="Q87" s="21"/>
      <c r="R87" s="21"/>
      <c r="S87" s="21"/>
      <c r="T87" s="279"/>
      <c r="U87" s="30"/>
      <c r="V87" s="30"/>
      <c r="W87" s="60"/>
      <c r="Y87" s="30"/>
    </row>
    <row r="88" spans="1:25" ht="20.100000000000001" customHeight="1" ns2:dyDescent="0.3">
      <c r="A88" s="30"/>
      <c r="B88" s="143"/>
      <c r="C88" s="30"/>
      <c r="D88" s="30"/>
      <c r="E88" s="21"/>
      <c r="F88" s="21"/>
      <c r="G88" s="21"/>
      <c r="H88" s="60"/>
      <c r="I88" s="60"/>
      <c r="J88" s="21"/>
      <c r="K88" s="26"/>
      <c r="L88" s="21"/>
      <c r="M88" s="30"/>
      <c r="N88" s="26"/>
      <c r="O88" s="30"/>
      <c r="P88" s="30"/>
      <c r="Q88" s="21"/>
      <c r="R88" s="21"/>
      <c r="S88" s="21"/>
      <c r="T88" s="279"/>
      <c r="U88" s="30"/>
      <c r="V88" s="30"/>
      <c r="W88" s="60"/>
      <c r="Y88" s="30"/>
    </row>
    <row r="89" spans="1:25" ht="20.100000000000001" customHeight="1" ns2:dyDescent="0.3">
      <c r="A89" s="30"/>
      <c r="B89" s="143"/>
      <c r="C89" s="30"/>
      <c r="D89" s="30"/>
      <c r="E89" s="21"/>
      <c r="F89" s="21"/>
      <c r="G89" s="21"/>
      <c r="H89" s="60"/>
      <c r="I89" s="60"/>
      <c r="J89" s="21"/>
      <c r="K89" s="26"/>
      <c r="L89" s="21"/>
      <c r="M89" s="30"/>
      <c r="N89" s="26"/>
      <c r="O89" s="30"/>
      <c r="P89" s="30"/>
      <c r="Q89" s="21"/>
      <c r="R89" s="21"/>
      <c r="S89" s="21"/>
      <c r="T89" s="279"/>
      <c r="U89" s="30"/>
      <c r="V89" s="30"/>
      <c r="W89" s="60"/>
      <c r="Y89" s="30"/>
    </row>
    <row r="90" spans="1:25" ht="20.100000000000001" customHeight="1" ns2:dyDescent="0.3">
      <c r="A90" s="30"/>
      <c r="B90" s="143"/>
      <c r="C90" s="30"/>
      <c r="D90" s="30"/>
      <c r="E90" s="21"/>
      <c r="F90" s="21"/>
      <c r="G90" s="21"/>
      <c r="H90" s="60"/>
      <c r="I90" s="60"/>
      <c r="J90" s="21"/>
      <c r="K90" s="26"/>
      <c r="L90" s="21"/>
      <c r="M90" s="30"/>
      <c r="N90" s="26"/>
      <c r="O90" s="30"/>
      <c r="P90" s="30"/>
      <c r="Q90" s="21"/>
      <c r="R90" s="21"/>
      <c r="S90" s="21"/>
      <c r="T90" s="279"/>
      <c r="U90" s="30"/>
      <c r="V90" s="30"/>
      <c r="W90" s="60"/>
      <c r="Y90" s="30"/>
    </row>
    <row r="91" spans="1:25" ht="20.100000000000001" customHeight="1" ns2:dyDescent="0.3">
      <c r="A91" s="30"/>
      <c r="B91" s="143"/>
      <c r="C91" s="30"/>
      <c r="D91" s="30"/>
      <c r="E91" s="21"/>
      <c r="F91" s="21"/>
      <c r="G91" s="21"/>
      <c r="H91" s="60"/>
      <c r="I91" s="60"/>
      <c r="J91" s="21"/>
      <c r="K91" s="26"/>
      <c r="L91" s="21"/>
      <c r="M91" s="30"/>
      <c r="N91" s="26"/>
      <c r="O91" s="30"/>
      <c r="P91" s="30"/>
      <c r="Q91" s="21"/>
      <c r="R91" s="21"/>
      <c r="S91" s="21"/>
      <c r="T91" s="279"/>
      <c r="U91" s="30"/>
      <c r="V91" s="30"/>
      <c r="W91" s="60"/>
      <c r="Y91" s="30"/>
    </row>
    <row r="92" spans="1:25" ht="20.100000000000001" customHeight="1" ns2:dyDescent="0.3">
      <c r="A92" s="30"/>
      <c r="B92" s="143"/>
      <c r="C92" s="30"/>
      <c r="D92" s="30"/>
      <c r="E92" s="21"/>
      <c r="F92" s="21"/>
      <c r="G92" s="21"/>
      <c r="H92" s="60"/>
      <c r="I92" s="60"/>
      <c r="J92" s="21"/>
      <c r="K92" s="26"/>
      <c r="L92" s="21"/>
      <c r="M92" s="30"/>
      <c r="N92" s="26"/>
      <c r="O92" s="30"/>
      <c r="P92" s="30"/>
      <c r="Q92" s="21"/>
      <c r="R92" s="21"/>
      <c r="S92" s="21"/>
      <c r="T92" s="279"/>
      <c r="U92" s="30"/>
      <c r="V92" s="30"/>
      <c r="W92" s="60"/>
      <c r="Y92" s="30"/>
    </row>
    <row r="93" spans="1:25" ht="20.100000000000001" customHeight="1" ns2:dyDescent="0.3">
      <c r="A93" s="30"/>
      <c r="B93" s="143"/>
      <c r="C93" s="30"/>
      <c r="D93" s="30"/>
      <c r="E93" s="20"/>
      <c r="F93" s="20"/>
      <c r="G93" s="20"/>
      <c r="H93" s="60"/>
      <c r="I93" s="60"/>
      <c r="J93" s="20"/>
      <c r="K93" s="26"/>
      <c r="L93" s="20"/>
      <c r="M93" s="30"/>
      <c r="N93" s="26"/>
      <c r="O93" s="30"/>
      <c r="P93" s="30"/>
      <c r="Q93" s="20"/>
      <c r="R93" s="20"/>
      <c r="S93" s="20"/>
      <c r="T93" s="281"/>
      <c r="U93" s="30"/>
      <c r="V93" s="30"/>
      <c r="W93" s="60"/>
      <c r="Y93" s="30"/>
    </row>
    <row r="94" spans="1:25" ht="20.100000000000001" customHeight="1" ns2:dyDescent="0.3">
      <c r="A94" s="30"/>
      <c r="B94" s="143"/>
      <c r="C94" s="30"/>
      <c r="D94" s="30"/>
      <c r="E94" s="20"/>
      <c r="F94" s="20"/>
      <c r="G94" s="20"/>
      <c r="H94" s="60"/>
      <c r="I94" s="60"/>
      <c r="J94" s="20"/>
      <c r="K94" s="26"/>
      <c r="L94" s="20"/>
      <c r="M94" s="30"/>
      <c r="N94" s="26"/>
      <c r="O94" s="30"/>
      <c r="P94" s="30"/>
      <c r="Q94" s="20"/>
      <c r="R94" s="20"/>
      <c r="S94" s="20"/>
      <c r="T94" s="281"/>
      <c r="U94" s="30"/>
      <c r="V94" s="30"/>
      <c r="W94" s="60"/>
      <c r="Y94" s="30"/>
    </row>
    <row r="95" spans="1:25" ht="20.100000000000001" customHeight="1" ns2:dyDescent="0.3">
      <c r="A95" s="30"/>
      <c r="B95" s="143"/>
      <c r="C95" s="30"/>
      <c r="D95" s="30"/>
      <c r="E95" s="20"/>
      <c r="F95" s="20"/>
      <c r="G95" s="20"/>
      <c r="H95" s="60"/>
      <c r="I95" s="60"/>
      <c r="J95" s="20"/>
      <c r="K95" s="26"/>
      <c r="L95" s="20"/>
      <c r="M95" s="30"/>
      <c r="N95" s="26"/>
      <c r="O95" s="30"/>
      <c r="P95" s="30"/>
      <c r="Q95" s="20"/>
      <c r="R95" s="20"/>
      <c r="S95" s="20"/>
      <c r="T95" s="281"/>
      <c r="U95" s="30"/>
      <c r="V95" s="30"/>
      <c r="W95" s="60"/>
      <c r="Y95" s="30"/>
    </row>
    <row r="96" spans="1:25" ht="20.100000000000001" customHeight="1" ns2:dyDescent="0.3">
      <c r="A96" s="30"/>
      <c r="B96" s="143"/>
      <c r="C96" s="30"/>
      <c r="D96" s="30"/>
      <c r="E96" s="20"/>
      <c r="F96" s="20"/>
      <c r="G96" s="20"/>
      <c r="H96" s="60"/>
      <c r="I96" s="60"/>
      <c r="J96" s="20"/>
      <c r="K96" s="26"/>
      <c r="L96" s="20"/>
      <c r="M96" s="30"/>
      <c r="N96" s="26"/>
      <c r="O96" s="30"/>
      <c r="P96" s="30"/>
      <c r="Q96" s="20"/>
      <c r="R96" s="20"/>
      <c r="S96" s="20"/>
      <c r="T96" s="281"/>
      <c r="U96" s="30"/>
      <c r="V96" s="30"/>
      <c r="W96" s="60"/>
      <c r="Y96" s="30"/>
    </row>
    <row r="97" spans="5:25" ht="18" customHeight="1" ns2:dyDescent="0.3">
      <c r="E97" s="20"/>
      <c r="F97" s="20"/>
      <c r="G97" s="20"/>
      <c r="H97" s="60"/>
      <c r="I97" s="60"/>
      <c r="J97" s="20"/>
      <c r="K97" s="26"/>
      <c r="L97" s="20"/>
      <c r="N97" s="26"/>
      <c r="Q97" s="20"/>
      <c r="R97" s="20"/>
      <c r="S97" s="20"/>
      <c r="T97" s="281"/>
      <c r="W97" s="60"/>
      <c r="Y97" s="30"/>
    </row>
    <row r="98" spans="5:25" ht="18" customHeight="1" ns2:dyDescent="0.3">
      <c r="E98" s="20"/>
      <c r="F98" s="20"/>
      <c r="G98" s="20"/>
      <c r="H98" s="60"/>
      <c r="I98" s="60"/>
      <c r="J98" s="20"/>
      <c r="K98" s="26"/>
      <c r="L98" s="20"/>
      <c r="N98" s="26"/>
      <c r="Q98" s="20"/>
      <c r="R98" s="20"/>
      <c r="S98" s="20"/>
      <c r="T98" s="281"/>
      <c r="W98" s="60"/>
      <c r="Y98" s="30"/>
    </row>
    <row r="99" spans="5:25" ht="18" customHeight="1" ns2:dyDescent="0.3">
      <c r="E99" s="20"/>
      <c r="F99" s="20"/>
      <c r="G99" s="20"/>
      <c r="H99" s="60"/>
      <c r="I99" s="60"/>
      <c r="J99" s="20"/>
      <c r="K99" s="26"/>
      <c r="L99" s="20"/>
      <c r="N99" s="26"/>
      <c r="Q99" s="20"/>
      <c r="R99" s="20"/>
      <c r="S99" s="20"/>
      <c r="T99" s="281"/>
      <c r="W99" s="60"/>
      <c r="Y99" s="30"/>
    </row>
    <row r="100" spans="5:25" ht="18" customHeight="1" ns2:dyDescent="0.3">
      <c r="E100" s="20"/>
      <c r="F100" s="20"/>
      <c r="G100" s="20"/>
      <c r="H100" s="60"/>
      <c r="I100" s="60"/>
      <c r="J100" s="20"/>
      <c r="K100" s="26"/>
      <c r="L100" s="20"/>
      <c r="N100" s="26"/>
      <c r="Q100" s="20"/>
      <c r="R100" s="20"/>
      <c r="S100" s="20"/>
      <c r="T100" s="281"/>
      <c r="W100" s="60"/>
      <c r="Y100" s="30"/>
    </row>
    <row r="101" spans="5:25" ht="18" customHeight="1" ns2:dyDescent="0.3">
      <c r="E101" s="20"/>
      <c r="F101" s="20"/>
      <c r="G101" s="20"/>
      <c r="H101" s="60"/>
      <c r="I101" s="60"/>
      <c r="J101" s="20"/>
      <c r="K101" s="26"/>
      <c r="L101" s="20"/>
      <c r="N101" s="26"/>
      <c r="Q101" s="20"/>
      <c r="R101" s="20"/>
      <c r="S101" s="20"/>
      <c r="T101" s="281"/>
      <c r="W101" s="60"/>
      <c r="Y101" s="30"/>
    </row>
    <row r="102" spans="5:25" ht="18" customHeight="1" ns2:dyDescent="0.3">
      <c r="E102" s="20"/>
      <c r="F102" s="20"/>
      <c r="G102" s="20"/>
      <c r="H102" s="60"/>
      <c r="I102" s="60"/>
      <c r="J102" s="20"/>
      <c r="K102" s="26"/>
      <c r="L102" s="20"/>
      <c r="N102" s="26"/>
      <c r="Q102" s="20"/>
      <c r="R102" s="20"/>
      <c r="S102" s="20"/>
      <c r="T102" s="281"/>
      <c r="W102" s="60"/>
      <c r="Y102" s="30"/>
    </row>
    <row r="103" spans="5:25" ht="18" customHeight="1" ns2:dyDescent="0.3">
      <c r="E103" s="20"/>
      <c r="F103" s="20"/>
      <c r="G103" s="20"/>
      <c r="H103" s="60"/>
      <c r="I103" s="60"/>
      <c r="J103" s="20"/>
      <c r="K103" s="26"/>
      <c r="L103" s="20"/>
      <c r="N103" s="26"/>
      <c r="Q103" s="20"/>
      <c r="R103" s="20"/>
      <c r="S103" s="20"/>
      <c r="T103" s="281"/>
      <c r="W103" s="60"/>
      <c r="Y103" s="30"/>
    </row>
    <row r="104" spans="5:25" ht="18" customHeight="1" ns2:dyDescent="0.3">
      <c r="E104" s="20"/>
      <c r="F104" s="20"/>
      <c r="G104" s="20"/>
      <c r="H104" s="60"/>
      <c r="I104" s="60"/>
      <c r="J104" s="20"/>
      <c r="K104" s="26"/>
      <c r="L104" s="20"/>
      <c r="N104" s="26"/>
      <c r="Q104" s="20"/>
      <c r="R104" s="20"/>
      <c r="S104" s="20"/>
      <c r="T104" s="281"/>
      <c r="W104" s="60"/>
      <c r="Y104" s="30"/>
    </row>
    <row r="105" spans="5:25" ht="18" customHeight="1" ns2:dyDescent="0.3">
      <c r="E105" s="20"/>
      <c r="F105" s="20"/>
      <c r="G105" s="20"/>
      <c r="H105" s="60"/>
      <c r="I105" s="60"/>
      <c r="J105" s="20"/>
      <c r="K105" s="26"/>
      <c r="L105" s="20"/>
      <c r="N105" s="26"/>
      <c r="Q105" s="20"/>
      <c r="R105" s="20"/>
      <c r="S105" s="20"/>
      <c r="T105" s="281"/>
      <c r="W105" s="60"/>
      <c r="Y105" s="30"/>
    </row>
    <row r="106" spans="5:25" ht="18" customHeight="1" ns2:dyDescent="0.3">
      <c r="E106" s="20"/>
      <c r="F106" s="20"/>
      <c r="G106" s="20"/>
      <c r="H106" s="60"/>
      <c r="I106" s="60"/>
      <c r="J106" s="20"/>
      <c r="K106" s="26"/>
      <c r="L106" s="20"/>
      <c r="N106" s="26"/>
      <c r="Q106" s="20"/>
      <c r="R106" s="20"/>
      <c r="S106" s="20"/>
      <c r="T106" s="281"/>
      <c r="W106" s="60"/>
      <c r="Y106" s="30"/>
    </row>
    <row r="107" spans="5:25" ht="18" customHeight="1" ns2:dyDescent="0.3">
      <c r="E107" s="20"/>
      <c r="F107" s="20"/>
      <c r="G107" s="20"/>
      <c r="H107" s="60"/>
      <c r="I107" s="60"/>
      <c r="J107" s="20"/>
      <c r="K107" s="26"/>
      <c r="L107" s="20"/>
      <c r="N107" s="26"/>
      <c r="Q107" s="20"/>
      <c r="R107" s="20"/>
      <c r="S107" s="20"/>
      <c r="T107" s="281"/>
      <c r="W107" s="60"/>
      <c r="Y107" s="30"/>
    </row>
    <row r="108" spans="5:25" ht="18" customHeight="1" ns2:dyDescent="0.3">
      <c r="E108" s="20"/>
      <c r="F108" s="20"/>
      <c r="G108" s="20"/>
      <c r="H108" s="60"/>
      <c r="I108" s="60"/>
      <c r="J108" s="20"/>
      <c r="K108" s="26"/>
      <c r="L108" s="20"/>
      <c r="N108" s="26"/>
      <c r="Q108" s="20"/>
      <c r="R108" s="20"/>
      <c r="S108" s="20"/>
      <c r="T108" s="281"/>
      <c r="W108" s="60"/>
      <c r="Y108" s="30"/>
    </row>
    <row r="109" spans="5:25" ht="18" customHeight="1" ns2:dyDescent="0.3">
      <c r="E109" s="20"/>
      <c r="F109" s="20"/>
      <c r="G109" s="20"/>
      <c r="H109" s="60"/>
      <c r="I109" s="60"/>
      <c r="J109" s="20"/>
      <c r="K109" s="26"/>
      <c r="L109" s="20"/>
      <c r="N109" s="26"/>
      <c r="Q109" s="20"/>
      <c r="R109" s="20"/>
      <c r="S109" s="20"/>
      <c r="T109" s="281"/>
      <c r="W109" s="60"/>
      <c r="Y109" s="30"/>
    </row>
    <row r="110" spans="5:25" ht="18" customHeight="1" ns2:dyDescent="0.3">
      <c r="E110" s="20"/>
      <c r="F110" s="20"/>
      <c r="G110" s="20"/>
      <c r="H110" s="60"/>
      <c r="I110" s="60"/>
      <c r="J110" s="20"/>
      <c r="K110" s="26"/>
      <c r="L110" s="20"/>
      <c r="N110" s="26"/>
      <c r="Q110" s="20"/>
      <c r="R110" s="20"/>
      <c r="S110" s="20"/>
      <c r="T110" s="281"/>
      <c r="W110" s="60"/>
      <c r="Y110" s="30"/>
    </row>
    <row r="111" spans="5:25" ht="18" customHeight="1" ns2:dyDescent="0.3">
      <c r="E111" s="20"/>
      <c r="F111" s="20"/>
      <c r="G111" s="20"/>
      <c r="H111" s="60"/>
      <c r="I111" s="60"/>
      <c r="J111" s="20"/>
      <c r="K111" s="26"/>
      <c r="L111" s="20"/>
      <c r="N111" s="26"/>
      <c r="Q111" s="20"/>
      <c r="R111" s="20"/>
      <c r="S111" s="20"/>
      <c r="T111" s="281"/>
      <c r="W111" s="60"/>
      <c r="Y111" s="30"/>
    </row>
    <row r="112" spans="5:25" ht="18" customHeight="1" ns2:dyDescent="0.3">
      <c r="E112" s="20"/>
      <c r="F112" s="20"/>
      <c r="G112" s="20"/>
      <c r="H112" s="60"/>
      <c r="I112" s="60"/>
      <c r="J112" s="20"/>
      <c r="K112" s="26"/>
      <c r="L112" s="20"/>
      <c r="N112" s="26"/>
      <c r="Q112" s="20"/>
      <c r="R112" s="20"/>
      <c r="S112" s="20"/>
      <c r="T112" s="281"/>
      <c r="W112" s="60"/>
      <c r="Y112" s="30"/>
    </row>
    <row r="113" spans="5:25" ht="18" customHeight="1" ns2:dyDescent="0.3">
      <c r="E113" s="20"/>
      <c r="F113" s="20"/>
      <c r="G113" s="20"/>
      <c r="H113" s="60"/>
      <c r="I113" s="60"/>
      <c r="J113" s="20"/>
      <c r="K113" s="26"/>
      <c r="L113" s="20"/>
      <c r="N113" s="26"/>
      <c r="Q113" s="20"/>
      <c r="R113" s="20"/>
      <c r="S113" s="20"/>
      <c r="T113" s="281"/>
      <c r="W113" s="60"/>
      <c r="Y113" s="30"/>
    </row>
    <row r="114" spans="5:25" ht="18" customHeight="1" ns2:dyDescent="0.3">
      <c r="E114" s="20"/>
      <c r="F114" s="20"/>
      <c r="G114" s="20"/>
      <c r="H114" s="60"/>
      <c r="I114" s="60"/>
      <c r="J114" s="20"/>
      <c r="K114" s="26"/>
      <c r="L114" s="20"/>
      <c r="N114" s="26"/>
      <c r="Q114" s="20"/>
      <c r="R114" s="20"/>
      <c r="S114" s="20"/>
      <c r="T114" s="281"/>
      <c r="W114" s="60"/>
      <c r="Y114" s="30"/>
    </row>
    <row r="115" spans="5:25" ht="18" customHeight="1" ns2:dyDescent="0.3">
      <c r="E115" s="20"/>
      <c r="F115" s="20"/>
      <c r="G115" s="20"/>
      <c r="H115" s="60"/>
      <c r="I115" s="60"/>
      <c r="J115" s="20"/>
      <c r="K115" s="26"/>
      <c r="L115" s="20"/>
      <c r="N115" s="26"/>
      <c r="Q115" s="20"/>
      <c r="R115" s="20"/>
      <c r="S115" s="20"/>
      <c r="T115" s="281"/>
      <c r="W115" s="60"/>
      <c r="Y115" s="30"/>
    </row>
    <row r="116" spans="5:25" ht="18" customHeight="1" ns2:dyDescent="0.3">
      <c r="E116" s="20"/>
      <c r="F116" s="20"/>
      <c r="G116" s="20"/>
      <c r="H116" s="60"/>
      <c r="I116" s="60"/>
      <c r="J116" s="20"/>
      <c r="K116" s="26"/>
      <c r="L116" s="20"/>
      <c r="N116" s="26"/>
      <c r="Q116" s="20"/>
      <c r="R116" s="20"/>
      <c r="S116" s="20"/>
      <c r="T116" s="281"/>
      <c r="W116" s="60"/>
      <c r="Y116" s="30"/>
    </row>
    <row r="117" spans="5:25" ht="18" customHeight="1" ns2:dyDescent="0.3">
      <c r="E117" s="20"/>
      <c r="F117" s="20"/>
      <c r="G117" s="20"/>
      <c r="H117" s="60"/>
      <c r="I117" s="60"/>
      <c r="J117" s="20"/>
      <c r="K117" s="26"/>
      <c r="L117" s="20"/>
      <c r="N117" s="26"/>
      <c r="Q117" s="20"/>
      <c r="R117" s="20"/>
      <c r="S117" s="20"/>
      <c r="T117" s="281"/>
      <c r="W117" s="60"/>
      <c r="Y117" s="30"/>
    </row>
    <row r="118" spans="5:25" ht="18" customHeight="1" ns2:dyDescent="0.3">
      <c r="E118" s="20"/>
      <c r="F118" s="20"/>
      <c r="G118" s="20"/>
      <c r="H118" s="60"/>
      <c r="I118" s="60"/>
      <c r="J118" s="20"/>
      <c r="K118" s="26"/>
      <c r="L118" s="20"/>
      <c r="N118" s="26"/>
      <c r="Q118" s="20"/>
      <c r="R118" s="20"/>
      <c r="S118" s="20"/>
      <c r="T118" s="281"/>
      <c r="W118" s="60"/>
      <c r="Y118" s="30"/>
    </row>
    <row r="119" spans="5:25" ht="18" customHeight="1" ns2:dyDescent="0.3">
      <c r="E119" s="20"/>
      <c r="F119" s="20"/>
      <c r="G119" s="20"/>
      <c r="H119" s="60"/>
      <c r="I119" s="60"/>
      <c r="J119" s="20"/>
      <c r="K119" s="26"/>
      <c r="L119" s="20"/>
      <c r="N119" s="26"/>
      <c r="Q119" s="20"/>
      <c r="R119" s="20"/>
      <c r="S119" s="20"/>
      <c r="T119" s="281"/>
      <c r="W119" s="60"/>
      <c r="Y119" s="30"/>
    </row>
    <row r="120" spans="5:25" ht="18" customHeight="1" ns2:dyDescent="0.3">
      <c r="E120" s="20"/>
      <c r="F120" s="20"/>
      <c r="G120" s="20"/>
      <c r="H120" s="60"/>
      <c r="I120" s="60"/>
      <c r="J120" s="20"/>
      <c r="K120" s="26"/>
      <c r="L120" s="20"/>
      <c r="N120" s="26"/>
      <c r="Q120" s="20"/>
      <c r="R120" s="20"/>
      <c r="S120" s="20"/>
      <c r="T120" s="281"/>
      <c r="W120" s="60"/>
      <c r="Y120" s="30"/>
    </row>
    <row r="121" spans="5:25" ht="18" customHeight="1" ns2:dyDescent="0.3">
      <c r="E121" s="20"/>
      <c r="F121" s="20"/>
      <c r="G121" s="20"/>
      <c r="H121" s="60"/>
      <c r="I121" s="60"/>
      <c r="J121" s="20"/>
      <c r="K121" s="26"/>
      <c r="L121" s="20"/>
      <c r="N121" s="26"/>
      <c r="Q121" s="20"/>
      <c r="R121" s="20"/>
      <c r="S121" s="20"/>
      <c r="T121" s="281"/>
      <c r="W121" s="60"/>
      <c r="Y121" s="30"/>
    </row>
    <row r="122" spans="5:25" ht="18" customHeight="1" ns2:dyDescent="0.3">
      <c r="E122" s="20"/>
      <c r="F122" s="20"/>
      <c r="G122" s="20"/>
      <c r="H122" s="60"/>
      <c r="I122" s="60"/>
      <c r="J122" s="20"/>
      <c r="K122" s="26"/>
      <c r="L122" s="20"/>
      <c r="N122" s="26"/>
      <c r="Q122" s="20"/>
      <c r="R122" s="20"/>
      <c r="S122" s="20"/>
      <c r="T122" s="281"/>
      <c r="W122" s="60"/>
      <c r="Y122" s="30"/>
    </row>
    <row r="123" spans="5:25" ht="18" customHeight="1" ns2:dyDescent="0.3">
      <c r="E123" s="20"/>
      <c r="F123" s="20"/>
      <c r="G123" s="20"/>
      <c r="H123" s="60"/>
      <c r="I123" s="60"/>
      <c r="J123" s="20"/>
      <c r="K123" s="26"/>
      <c r="L123" s="20"/>
      <c r="N123" s="26"/>
      <c r="Q123" s="20"/>
      <c r="R123" s="20"/>
      <c r="S123" s="20"/>
      <c r="T123" s="281"/>
      <c r="W123" s="60"/>
      <c r="Y123" s="30"/>
    </row>
    <row r="124" spans="5:25" ht="18" customHeight="1" ns2:dyDescent="0.3">
      <c r="E124" s="20"/>
      <c r="F124" s="20"/>
      <c r="G124" s="20"/>
      <c r="H124" s="60"/>
      <c r="I124" s="60"/>
      <c r="J124" s="20"/>
      <c r="K124" s="26"/>
      <c r="L124" s="20"/>
      <c r="N124" s="26"/>
      <c r="Q124" s="20"/>
      <c r="R124" s="20"/>
      <c r="S124" s="20"/>
      <c r="T124" s="281"/>
      <c r="W124" s="60"/>
      <c r="Y124" s="30"/>
    </row>
    <row r="125" spans="5:25" ht="18" customHeight="1" ns2:dyDescent="0.3">
      <c r="E125" s="20"/>
      <c r="F125" s="20"/>
      <c r="G125" s="20"/>
      <c r="H125" s="60"/>
      <c r="I125" s="60"/>
      <c r="J125" s="20"/>
      <c r="K125" s="26"/>
      <c r="L125" s="20"/>
      <c r="N125" s="26"/>
      <c r="Q125" s="20"/>
      <c r="R125" s="20"/>
      <c r="S125" s="20"/>
      <c r="T125" s="281"/>
      <c r="W125" s="60"/>
      <c r="Y125" s="30"/>
    </row>
    <row r="126" spans="5:25" ht="18" customHeight="1" ns2:dyDescent="0.3">
      <c r="E126" s="20"/>
      <c r="F126" s="20"/>
      <c r="G126" s="20"/>
      <c r="H126" s="60"/>
      <c r="I126" s="60"/>
      <c r="J126" s="20"/>
      <c r="K126" s="26"/>
      <c r="L126" s="20"/>
      <c r="N126" s="26"/>
      <c r="Q126" s="20"/>
      <c r="R126" s="20"/>
      <c r="S126" s="20"/>
      <c r="T126" s="281"/>
      <c r="W126" s="60"/>
      <c r="Y126" s="30"/>
    </row>
    <row r="127" spans="5:25" ht="18" customHeight="1" ns2:dyDescent="0.3">
      <c r="E127" s="20"/>
      <c r="F127" s="20"/>
      <c r="G127" s="20"/>
      <c r="H127" s="60"/>
      <c r="I127" s="60"/>
      <c r="J127" s="20"/>
      <c r="K127" s="26"/>
      <c r="L127" s="20"/>
      <c r="N127" s="26"/>
      <c r="Q127" s="20"/>
      <c r="R127" s="20"/>
      <c r="S127" s="20"/>
      <c r="T127" s="281"/>
      <c r="W127" s="60"/>
      <c r="Y127" s="30"/>
    </row>
    <row r="128" spans="5:25" ht="18" customHeight="1" ns2:dyDescent="0.3">
      <c r="E128" s="20"/>
      <c r="F128" s="20"/>
      <c r="G128" s="20"/>
      <c r="H128" s="60"/>
      <c r="I128" s="60"/>
      <c r="J128" s="20"/>
      <c r="K128" s="26"/>
      <c r="L128" s="20"/>
      <c r="N128" s="26"/>
      <c r="Q128" s="20"/>
      <c r="R128" s="20"/>
      <c r="S128" s="20"/>
      <c r="T128" s="281"/>
      <c r="W128" s="60"/>
      <c r="Y128" s="30"/>
    </row>
    <row r="129" spans="5:25" ht="18" customHeight="1" ns2:dyDescent="0.3">
      <c r="E129" s="20"/>
      <c r="F129" s="20"/>
      <c r="G129" s="20"/>
      <c r="H129" s="60"/>
      <c r="I129" s="60"/>
      <c r="J129" s="20"/>
      <c r="K129" s="26"/>
      <c r="L129" s="20"/>
      <c r="N129" s="26"/>
      <c r="Q129" s="20"/>
      <c r="R129" s="20"/>
      <c r="S129" s="20"/>
      <c r="T129" s="281"/>
      <c r="W129" s="60"/>
      <c r="Y129" s="30"/>
    </row>
    <row r="130" spans="5:25" ht="18" customHeight="1" ns2:dyDescent="0.3">
      <c r="E130" s="20"/>
      <c r="F130" s="20"/>
      <c r="G130" s="20"/>
      <c r="H130" s="60"/>
      <c r="I130" s="60"/>
      <c r="J130" s="20"/>
      <c r="K130" s="26"/>
      <c r="L130" s="20"/>
      <c r="N130" s="26"/>
      <c r="Q130" s="20"/>
      <c r="R130" s="20"/>
      <c r="S130" s="20"/>
      <c r="T130" s="281"/>
      <c r="W130" s="60"/>
      <c r="Y130" s="30"/>
    </row>
    <row r="131" spans="5:25" ht="18" customHeight="1" ns2:dyDescent="0.3">
      <c r="E131" s="20"/>
      <c r="F131" s="20"/>
      <c r="G131" s="20"/>
      <c r="H131" s="60"/>
      <c r="I131" s="60"/>
      <c r="J131" s="20"/>
      <c r="K131" s="26"/>
      <c r="L131" s="20"/>
      <c r="N131" s="26"/>
      <c r="Q131" s="20"/>
      <c r="R131" s="20"/>
      <c r="S131" s="20"/>
      <c r="T131" s="281"/>
      <c r="W131" s="60"/>
      <c r="Y131" s="30"/>
    </row>
    <row r="132" spans="5:25" ht="18" customHeight="1" ns2:dyDescent="0.3">
      <c r="E132" s="20"/>
      <c r="F132" s="20"/>
      <c r="G132" s="20"/>
      <c r="H132" s="60"/>
      <c r="I132" s="60"/>
      <c r="J132" s="20"/>
      <c r="K132" s="26"/>
      <c r="L132" s="20"/>
      <c r="N132" s="26"/>
      <c r="Q132" s="20"/>
      <c r="R132" s="20"/>
      <c r="S132" s="20"/>
      <c r="T132" s="281"/>
      <c r="W132" s="60"/>
      <c r="Y132" s="30"/>
    </row>
    <row r="133" spans="5:25" ht="18" customHeight="1" ns2:dyDescent="0.3">
      <c r="E133" s="20"/>
      <c r="F133" s="20"/>
      <c r="G133" s="20"/>
      <c r="H133" s="60"/>
      <c r="I133" s="60"/>
      <c r="J133" s="20"/>
      <c r="K133" s="26"/>
      <c r="L133" s="20"/>
      <c r="N133" s="26"/>
      <c r="Q133" s="20"/>
      <c r="R133" s="20"/>
      <c r="S133" s="20"/>
      <c r="T133" s="281"/>
      <c r="W133" s="60"/>
      <c r="Y133" s="30"/>
    </row>
    <row r="134" spans="5:25" ht="18" customHeight="1" ns2:dyDescent="0.3">
      <c r="E134" s="20"/>
      <c r="F134" s="20"/>
      <c r="G134" s="20"/>
      <c r="H134" s="60"/>
      <c r="I134" s="60"/>
      <c r="J134" s="20"/>
      <c r="K134" s="26"/>
      <c r="L134" s="20"/>
      <c r="N134" s="26"/>
      <c r="Q134" s="20"/>
      <c r="R134" s="20"/>
      <c r="S134" s="20"/>
      <c r="T134" s="281"/>
      <c r="W134" s="60"/>
      <c r="Y134" s="30"/>
    </row>
    <row r="135" spans="5:25" ht="18" customHeight="1" ns2:dyDescent="0.3">
      <c r="E135" s="20"/>
      <c r="F135" s="20"/>
      <c r="G135" s="20"/>
      <c r="H135" s="60"/>
      <c r="I135" s="60"/>
      <c r="J135" s="20"/>
      <c r="K135" s="26"/>
      <c r="L135" s="20"/>
      <c r="N135" s="26"/>
      <c r="Q135" s="20"/>
      <c r="R135" s="20"/>
      <c r="S135" s="20"/>
      <c r="T135" s="281"/>
      <c r="W135" s="60"/>
      <c r="Y135" s="30"/>
    </row>
    <row r="136" spans="5:25" ht="18" customHeight="1" ns2:dyDescent="0.3">
      <c r="E136" s="20"/>
      <c r="F136" s="20"/>
      <c r="G136" s="20"/>
      <c r="H136" s="60"/>
      <c r="I136" s="60"/>
      <c r="J136" s="20"/>
      <c r="K136" s="26"/>
      <c r="L136" s="20"/>
      <c r="N136" s="26"/>
      <c r="Q136" s="20"/>
      <c r="R136" s="20"/>
      <c r="S136" s="20"/>
      <c r="T136" s="281"/>
      <c r="W136" s="60"/>
      <c r="Y136" s="30"/>
    </row>
    <row r="137" spans="5:25" ht="18" customHeight="1" ns2:dyDescent="0.3">
      <c r="E137" s="20"/>
      <c r="F137" s="20"/>
      <c r="G137" s="20"/>
      <c r="H137" s="60"/>
      <c r="I137" s="60"/>
      <c r="J137" s="20"/>
      <c r="K137" s="26"/>
      <c r="L137" s="20"/>
      <c r="N137" s="26"/>
      <c r="Q137" s="20"/>
      <c r="R137" s="20"/>
      <c r="S137" s="20"/>
      <c r="T137" s="281"/>
      <c r="W137" s="60"/>
      <c r="Y137" s="30"/>
    </row>
    <row r="138" spans="5:25" ht="18" customHeight="1" ns2:dyDescent="0.3">
      <c r="E138" s="20"/>
      <c r="F138" s="20"/>
      <c r="G138" s="20"/>
      <c r="H138" s="60"/>
      <c r="I138" s="60"/>
      <c r="J138" s="20"/>
      <c r="K138" s="26"/>
      <c r="L138" s="20"/>
      <c r="N138" s="26"/>
      <c r="Q138" s="20"/>
      <c r="R138" s="20"/>
      <c r="S138" s="20"/>
      <c r="T138" s="281"/>
      <c r="W138" s="60"/>
      <c r="Y138" s="30"/>
    </row>
    <row r="139" spans="5:25" ht="18" customHeight="1" ns2:dyDescent="0.3">
      <c r="E139" s="20"/>
      <c r="F139" s="20"/>
      <c r="G139" s="20"/>
      <c r="H139" s="60"/>
      <c r="I139" s="60"/>
      <c r="J139" s="20"/>
      <c r="K139" s="26"/>
      <c r="L139" s="20"/>
      <c r="N139" s="26"/>
      <c r="Q139" s="20"/>
      <c r="R139" s="20"/>
      <c r="S139" s="20"/>
      <c r="T139" s="281"/>
      <c r="W139" s="60"/>
      <c r="Y139" s="30"/>
    </row>
    <row r="140" spans="5:25" ht="18" customHeight="1" ns2:dyDescent="0.3">
      <c r="E140" s="20"/>
      <c r="F140" s="20"/>
      <c r="G140" s="20"/>
      <c r="H140" s="60"/>
      <c r="I140" s="60"/>
      <c r="J140" s="20"/>
      <c r="K140" s="26"/>
      <c r="L140" s="20"/>
      <c r="N140" s="26"/>
      <c r="Q140" s="20"/>
      <c r="R140" s="20"/>
      <c r="S140" s="20"/>
      <c r="T140" s="281"/>
      <c r="W140" s="60"/>
      <c r="Y140" s="30"/>
    </row>
    <row r="141" spans="5:25" ht="18" customHeight="1" ns2:dyDescent="0.3">
      <c r="E141" s="20"/>
      <c r="F141" s="20"/>
      <c r="G141" s="20"/>
      <c r="H141" s="60"/>
      <c r="I141" s="60"/>
      <c r="J141" s="20"/>
      <c r="K141" s="26"/>
      <c r="L141" s="20"/>
      <c r="N141" s="26"/>
      <c r="Q141" s="20"/>
      <c r="R141" s="20"/>
      <c r="S141" s="20"/>
      <c r="T141" s="281"/>
      <c r="W141" s="60"/>
      <c r="Y141" s="30"/>
    </row>
    <row r="142" spans="5:25" ht="18" customHeight="1" ns2:dyDescent="0.3">
      <c r="E142" s="20"/>
      <c r="F142" s="20"/>
      <c r="G142" s="20"/>
      <c r="H142" s="60"/>
      <c r="I142" s="60"/>
      <c r="J142" s="20"/>
      <c r="K142" s="26"/>
      <c r="L142" s="20"/>
      <c r="N142" s="26"/>
      <c r="Q142" s="20"/>
      <c r="R142" s="20"/>
      <c r="S142" s="20"/>
      <c r="T142" s="281"/>
      <c r="W142" s="60"/>
      <c r="Y142" s="30"/>
    </row>
    <row r="143" spans="5:25" ht="18" customHeight="1" ns2:dyDescent="0.3">
      <c r="E143" s="20"/>
      <c r="F143" s="20"/>
      <c r="G143" s="20"/>
      <c r="H143" s="60"/>
      <c r="I143" s="60"/>
      <c r="J143" s="20"/>
      <c r="K143" s="26"/>
      <c r="L143" s="20"/>
      <c r="N143" s="26"/>
      <c r="Q143" s="20"/>
      <c r="R143" s="20"/>
      <c r="S143" s="20"/>
      <c r="T143" s="281"/>
      <c r="W143" s="60"/>
      <c r="Y143" s="30"/>
    </row>
    <row r="144" spans="5:25" ht="18" customHeight="1" ns2:dyDescent="0.3">
      <c r="E144" s="20"/>
      <c r="F144" s="20"/>
      <c r="G144" s="20"/>
      <c r="H144" s="60"/>
      <c r="I144" s="60"/>
      <c r="J144" s="20"/>
      <c r="K144" s="26"/>
      <c r="L144" s="20"/>
      <c r="N144" s="26"/>
      <c r="Q144" s="20"/>
      <c r="R144" s="20"/>
      <c r="S144" s="20"/>
      <c r="T144" s="281"/>
      <c r="W144" s="60"/>
      <c r="Y144" s="30"/>
    </row>
    <row r="145" spans="5:25" ht="18" customHeight="1" ns2:dyDescent="0.3">
      <c r="E145" s="20"/>
      <c r="F145" s="20"/>
      <c r="G145" s="20"/>
      <c r="H145" s="60"/>
      <c r="I145" s="60"/>
      <c r="J145" s="20"/>
      <c r="K145" s="26"/>
      <c r="L145" s="20"/>
      <c r="N145" s="26"/>
      <c r="Q145" s="20"/>
      <c r="R145" s="20"/>
      <c r="S145" s="20"/>
      <c r="T145" s="281"/>
      <c r="W145" s="60"/>
      <c r="Y145" s="30"/>
    </row>
    <row r="146" spans="5:25" ht="18" customHeight="1" ns2:dyDescent="0.3">
      <c r="E146" s="20"/>
      <c r="F146" s="20"/>
      <c r="G146" s="20"/>
      <c r="H146" s="60"/>
      <c r="I146" s="60"/>
      <c r="J146" s="20"/>
      <c r="K146" s="26"/>
      <c r="L146" s="20"/>
      <c r="N146" s="26"/>
      <c r="Q146" s="20"/>
      <c r="R146" s="20"/>
      <c r="S146" s="20"/>
      <c r="T146" s="281"/>
      <c r="W146" s="60"/>
      <c r="Y146" s="30"/>
    </row>
    <row r="147" spans="5:25" ht="18" customHeight="1" ns2:dyDescent="0.3">
      <c r="E147" s="20"/>
      <c r="F147" s="20"/>
      <c r="G147" s="20"/>
      <c r="H147" s="60"/>
      <c r="I147" s="60"/>
      <c r="J147" s="20"/>
      <c r="K147" s="26"/>
      <c r="L147" s="20"/>
      <c r="N147" s="26"/>
      <c r="Q147" s="20"/>
      <c r="R147" s="20"/>
      <c r="S147" s="20"/>
      <c r="T147" s="281"/>
      <c r="W147" s="60"/>
      <c r="Y147" s="30"/>
    </row>
    <row r="148" spans="5:25" ht="18" customHeight="1" ns2:dyDescent="0.3">
      <c r="E148" s="20"/>
      <c r="F148" s="20"/>
      <c r="G148" s="20"/>
      <c r="H148" s="60"/>
      <c r="I148" s="60"/>
      <c r="J148" s="20"/>
      <c r="K148" s="26"/>
      <c r="L148" s="20"/>
      <c r="N148" s="26"/>
      <c r="Q148" s="20"/>
      <c r="R148" s="20"/>
      <c r="S148" s="20"/>
      <c r="T148" s="281"/>
      <c r="W148" s="60"/>
      <c r="Y148" s="30"/>
    </row>
    <row r="149" spans="5:25" ht="18" customHeight="1" ns2:dyDescent="0.3">
      <c r="E149" s="20"/>
      <c r="F149" s="20"/>
      <c r="G149" s="20"/>
      <c r="H149" s="60"/>
      <c r="I149" s="60"/>
      <c r="J149" s="20"/>
      <c r="K149" s="26"/>
      <c r="L149" s="20"/>
      <c r="N149" s="26"/>
      <c r="Q149" s="20"/>
      <c r="R149" s="20"/>
      <c r="S149" s="20"/>
      <c r="T149" s="281"/>
      <c r="W149" s="60"/>
      <c r="Y149" s="30"/>
    </row>
    <row r="150" spans="5:25" ht="18" customHeight="1" ns2:dyDescent="0.3">
      <c r="E150" s="20"/>
      <c r="F150" s="20"/>
      <c r="G150" s="20"/>
      <c r="H150" s="60"/>
      <c r="I150" s="60"/>
      <c r="J150" s="20"/>
      <c r="K150" s="26"/>
      <c r="L150" s="20"/>
      <c r="N150" s="26"/>
      <c r="Q150" s="20"/>
      <c r="R150" s="20"/>
      <c r="S150" s="20"/>
      <c r="T150" s="281"/>
      <c r="W150" s="60"/>
      <c r="Y150" s="30"/>
    </row>
    <row r="151" spans="5:25" ht="18" customHeight="1" ns2:dyDescent="0.3">
      <c r="E151" s="20"/>
      <c r="F151" s="20"/>
      <c r="G151" s="20"/>
      <c r="H151" s="60"/>
      <c r="I151" s="60"/>
      <c r="J151" s="20"/>
      <c r="K151" s="26"/>
      <c r="L151" s="20"/>
      <c r="N151" s="26"/>
      <c r="Q151" s="20"/>
      <c r="R151" s="20"/>
      <c r="S151" s="20"/>
      <c r="T151" s="281"/>
      <c r="W151" s="60"/>
      <c r="Y151" s="30"/>
    </row>
    <row r="152" spans="5:25" ht="18" customHeight="1" ns2:dyDescent="0.3">
      <c r="E152" s="20"/>
      <c r="F152" s="20"/>
      <c r="G152" s="20"/>
      <c r="H152" s="60"/>
      <c r="I152" s="60"/>
      <c r="J152" s="20"/>
      <c r="K152" s="26"/>
      <c r="L152" s="20"/>
      <c r="N152" s="26"/>
      <c r="Q152" s="20"/>
      <c r="R152" s="20"/>
      <c r="S152" s="20"/>
      <c r="T152" s="281"/>
      <c r="W152" s="60"/>
      <c r="Y152" s="30"/>
    </row>
    <row r="153" spans="5:25" ht="18" customHeight="1" ns2:dyDescent="0.3">
      <c r="E153" s="20"/>
      <c r="F153" s="20"/>
      <c r="G153" s="20"/>
      <c r="H153" s="60"/>
      <c r="I153" s="60"/>
      <c r="J153" s="20"/>
      <c r="K153" s="26"/>
      <c r="L153" s="20"/>
      <c r="N153" s="26"/>
      <c r="Q153" s="20"/>
      <c r="R153" s="20"/>
      <c r="S153" s="20"/>
      <c r="T153" s="281"/>
      <c r="W153" s="60"/>
      <c r="Y153" s="30"/>
    </row>
    <row r="154" spans="5:25" ht="18" customHeight="1" ns2:dyDescent="0.3">
      <c r="E154" s="20"/>
      <c r="F154" s="20"/>
      <c r="G154" s="20"/>
      <c r="H154" s="60"/>
      <c r="I154" s="60"/>
      <c r="J154" s="20"/>
      <c r="K154" s="26"/>
      <c r="L154" s="20"/>
      <c r="N154" s="26"/>
      <c r="Q154" s="20"/>
      <c r="R154" s="20"/>
      <c r="S154" s="20"/>
      <c r="T154" s="281"/>
      <c r="W154" s="60"/>
      <c r="Y154" s="30"/>
    </row>
    <row r="155" spans="5:25" ht="18" customHeight="1" ns2:dyDescent="0.3">
      <c r="E155" s="20"/>
      <c r="F155" s="20"/>
      <c r="G155" s="20"/>
      <c r="H155" s="60"/>
      <c r="I155" s="60"/>
      <c r="J155" s="20"/>
      <c r="K155" s="26"/>
      <c r="L155" s="20"/>
      <c r="N155" s="26"/>
      <c r="Q155" s="20"/>
      <c r="R155" s="20"/>
      <c r="S155" s="20"/>
      <c r="T155" s="281"/>
      <c r="W155" s="60"/>
      <c r="Y155" s="30"/>
    </row>
    <row r="156" spans="5:25" ht="18" customHeight="1" ns2:dyDescent="0.3">
      <c r="E156" s="20"/>
      <c r="F156" s="20"/>
      <c r="G156" s="20"/>
      <c r="H156" s="60"/>
      <c r="I156" s="60"/>
      <c r="J156" s="20"/>
      <c r="K156" s="26"/>
      <c r="L156" s="20"/>
      <c r="N156" s="26"/>
      <c r="Q156" s="20"/>
      <c r="R156" s="20"/>
      <c r="S156" s="20"/>
      <c r="T156" s="281"/>
      <c r="W156" s="60"/>
      <c r="Y156" s="30"/>
    </row>
    <row r="157" spans="5:25" ht="18" customHeight="1" ns2:dyDescent="0.3">
      <c r="E157" s="20"/>
      <c r="F157" s="20"/>
      <c r="G157" s="20"/>
      <c r="H157" s="60"/>
      <c r="I157" s="60"/>
      <c r="J157" s="20"/>
      <c r="K157" s="26"/>
      <c r="L157" s="20"/>
      <c r="N157" s="26"/>
      <c r="Q157" s="20"/>
      <c r="R157" s="20"/>
      <c r="S157" s="20"/>
      <c r="T157" s="281"/>
      <c r="W157" s="60"/>
      <c r="Y157" s="30"/>
    </row>
    <row r="158" spans="5:25" ht="18" customHeight="1" ns2:dyDescent="0.3">
      <c r="E158" s="20"/>
      <c r="F158" s="20"/>
      <c r="G158" s="20"/>
      <c r="H158" s="60"/>
      <c r="I158" s="60"/>
      <c r="J158" s="20"/>
      <c r="K158" s="26"/>
      <c r="L158" s="20"/>
      <c r="N158" s="26"/>
      <c r="Q158" s="20"/>
      <c r="R158" s="20"/>
      <c r="S158" s="20"/>
      <c r="T158" s="281"/>
      <c r="W158" s="60"/>
      <c r="Y158" s="30"/>
    </row>
    <row r="159" spans="5:25" ht="18" customHeight="1" ns2:dyDescent="0.3">
      <c r="E159" s="20"/>
      <c r="F159" s="20"/>
      <c r="G159" s="20"/>
      <c r="H159" s="60"/>
      <c r="I159" s="60"/>
      <c r="J159" s="20"/>
      <c r="K159" s="26"/>
      <c r="L159" s="20"/>
      <c r="N159" s="26"/>
      <c r="Q159" s="20"/>
      <c r="R159" s="20"/>
      <c r="S159" s="20"/>
      <c r="T159" s="281"/>
      <c r="W159" s="60"/>
      <c r="Y159" s="30"/>
    </row>
    <row r="160" spans="5:25" ht="18" customHeight="1" ns2:dyDescent="0.3">
      <c r="E160" s="20"/>
      <c r="F160" s="20"/>
      <c r="G160" s="20"/>
      <c r="H160" s="60"/>
      <c r="I160" s="60"/>
      <c r="J160" s="20"/>
      <c r="K160" s="26"/>
      <c r="L160" s="20"/>
      <c r="N160" s="26"/>
      <c r="Q160" s="20"/>
      <c r="R160" s="20"/>
      <c r="S160" s="20"/>
      <c r="T160" s="281"/>
      <c r="W160" s="60"/>
      <c r="Y160" s="30"/>
    </row>
    <row r="161" spans="5:25" ht="18" customHeight="1" ns2:dyDescent="0.3">
      <c r="E161" s="20"/>
      <c r="F161" s="20"/>
      <c r="G161" s="20"/>
      <c r="H161" s="60"/>
      <c r="I161" s="60"/>
      <c r="J161" s="20"/>
      <c r="K161" s="26"/>
      <c r="L161" s="20"/>
      <c r="N161" s="26"/>
      <c r="Q161" s="20"/>
      <c r="R161" s="20"/>
      <c r="S161" s="20"/>
      <c r="T161" s="281"/>
      <c r="W161" s="60"/>
      <c r="Y161" s="30"/>
    </row>
    <row r="162" spans="5:25" ht="18" customHeight="1" ns2:dyDescent="0.3">
      <c r="E162" s="20"/>
      <c r="F162" s="20"/>
      <c r="G162" s="20"/>
      <c r="H162" s="60"/>
      <c r="I162" s="60"/>
      <c r="J162" s="20"/>
      <c r="K162" s="26"/>
      <c r="L162" s="20"/>
      <c r="N162" s="26"/>
      <c r="Q162" s="20"/>
      <c r="R162" s="20"/>
      <c r="S162" s="20"/>
      <c r="T162" s="281"/>
      <c r="W162" s="60"/>
      <c r="Y162" s="30"/>
    </row>
    <row r="163" spans="5:25" ht="18" customHeight="1" ns2:dyDescent="0.3">
      <c r="E163" s="20"/>
      <c r="F163" s="20"/>
      <c r="G163" s="20"/>
      <c r="H163" s="60"/>
      <c r="I163" s="60"/>
      <c r="J163" s="20"/>
      <c r="K163" s="26"/>
      <c r="L163" s="20"/>
      <c r="N163" s="26"/>
      <c r="Q163" s="20"/>
      <c r="R163" s="20"/>
      <c r="S163" s="20"/>
      <c r="T163" s="281"/>
      <c r="W163" s="60"/>
      <c r="Y163" s="30"/>
    </row>
    <row r="164" spans="5:25" ht="18" customHeight="1" ns2:dyDescent="0.3">
      <c r="E164" s="20"/>
      <c r="F164" s="20"/>
      <c r="G164" s="20"/>
      <c r="H164" s="60"/>
      <c r="I164" s="60"/>
      <c r="J164" s="20"/>
      <c r="K164" s="26"/>
      <c r="L164" s="20"/>
      <c r="N164" s="26"/>
      <c r="Q164" s="20"/>
      <c r="R164" s="20"/>
      <c r="S164" s="20"/>
      <c r="T164" s="281"/>
      <c r="W164" s="60"/>
      <c r="Y164" s="30"/>
    </row>
    <row r="165" spans="5:25" ht="18" customHeight="1" ns2:dyDescent="0.3">
      <c r="E165" s="20"/>
      <c r="F165" s="20"/>
      <c r="G165" s="20"/>
      <c r="H165" s="60"/>
      <c r="I165" s="60"/>
      <c r="J165" s="20"/>
      <c r="K165" s="26"/>
      <c r="L165" s="20"/>
      <c r="N165" s="26"/>
      <c r="Q165" s="20"/>
      <c r="R165" s="20"/>
      <c r="S165" s="20"/>
      <c r="T165" s="281"/>
      <c r="W165" s="60"/>
      <c r="Y165" s="30"/>
    </row>
    <row r="166" spans="5:25" ht="18" customHeight="1" ns2:dyDescent="0.3">
      <c r="E166" s="20"/>
      <c r="F166" s="20"/>
      <c r="G166" s="20"/>
      <c r="H166" s="60"/>
      <c r="I166" s="60"/>
      <c r="J166" s="20"/>
      <c r="K166" s="26"/>
      <c r="L166" s="20"/>
      <c r="N166" s="26"/>
      <c r="Q166" s="20"/>
      <c r="R166" s="20"/>
      <c r="S166" s="20"/>
      <c r="T166" s="281"/>
      <c r="W166" s="60"/>
      <c r="Y166" s="30"/>
    </row>
    <row r="167" spans="5:25" ht="18" customHeight="1" ns2:dyDescent="0.3">
      <c r="E167" s="20"/>
      <c r="F167" s="20"/>
      <c r="G167" s="20"/>
      <c r="H167" s="60"/>
      <c r="I167" s="60"/>
      <c r="J167" s="20"/>
      <c r="K167" s="26"/>
      <c r="L167" s="20"/>
      <c r="N167" s="26"/>
      <c r="Q167" s="20"/>
      <c r="R167" s="20"/>
      <c r="S167" s="20"/>
      <c r="T167" s="281"/>
      <c r="W167" s="60"/>
      <c r="Y167" s="30"/>
    </row>
    <row r="168" spans="5:25" ht="18" customHeight="1" ns2:dyDescent="0.3">
      <c r="E168" s="20"/>
      <c r="F168" s="20"/>
      <c r="G168" s="20"/>
      <c r="H168" s="60"/>
      <c r="I168" s="60"/>
      <c r="J168" s="20"/>
      <c r="K168" s="26"/>
      <c r="L168" s="20"/>
      <c r="N168" s="26"/>
      <c r="Q168" s="20"/>
      <c r="R168" s="20"/>
      <c r="S168" s="20"/>
      <c r="T168" s="281"/>
      <c r="W168" s="60"/>
      <c r="Y168" s="30"/>
    </row>
    <row r="169" spans="5:25" ht="18" customHeight="1" ns2:dyDescent="0.3">
      <c r="E169" s="20"/>
      <c r="F169" s="20"/>
      <c r="G169" s="20"/>
      <c r="H169" s="60"/>
      <c r="I169" s="60"/>
      <c r="J169" s="20"/>
      <c r="K169" s="26"/>
      <c r="L169" s="20"/>
      <c r="N169" s="26"/>
      <c r="Q169" s="20"/>
      <c r="R169" s="20"/>
      <c r="S169" s="20"/>
      <c r="T169" s="281"/>
      <c r="W169" s="60"/>
      <c r="Y169" s="30"/>
    </row>
    <row r="170" spans="5:25" ht="18" customHeight="1" ns2:dyDescent="0.3">
      <c r="E170" s="20"/>
      <c r="F170" s="20"/>
      <c r="G170" s="20"/>
      <c r="H170" s="60"/>
      <c r="I170" s="60"/>
      <c r="J170" s="20"/>
      <c r="K170" s="26"/>
      <c r="L170" s="20"/>
      <c r="N170" s="26"/>
      <c r="Q170" s="20"/>
      <c r="R170" s="20"/>
      <c r="S170" s="20"/>
      <c r="T170" s="281"/>
      <c r="W170" s="60"/>
      <c r="Y170" s="30"/>
    </row>
    <row r="171" spans="5:25" ht="18" customHeight="1" ns2:dyDescent="0.3">
      <c r="E171" s="20"/>
      <c r="F171" s="20"/>
      <c r="G171" s="20"/>
      <c r="H171" s="60"/>
      <c r="I171" s="60"/>
      <c r="J171" s="20"/>
      <c r="K171" s="26"/>
      <c r="L171" s="20"/>
      <c r="N171" s="26"/>
      <c r="Q171" s="20"/>
      <c r="R171" s="20"/>
      <c r="S171" s="20"/>
      <c r="T171" s="281"/>
      <c r="W171" s="60"/>
      <c r="Y171" s="30"/>
    </row>
    <row r="172" spans="5:25" ht="18" customHeight="1" ns2:dyDescent="0.3">
      <c r="E172" s="20"/>
      <c r="F172" s="20"/>
      <c r="G172" s="20"/>
      <c r="H172" s="60"/>
      <c r="I172" s="60"/>
      <c r="J172" s="20"/>
      <c r="K172" s="26"/>
      <c r="L172" s="20"/>
      <c r="N172" s="26"/>
      <c r="Q172" s="20"/>
      <c r="R172" s="20"/>
      <c r="S172" s="20"/>
      <c r="T172" s="281"/>
      <c r="W172" s="60"/>
      <c r="Y172" s="30"/>
    </row>
    <row r="173" spans="5:25" ht="18" customHeight="1" ns2:dyDescent="0.3">
      <c r="E173" s="20"/>
      <c r="F173" s="20"/>
      <c r="G173" s="20"/>
      <c r="H173" s="60"/>
      <c r="I173" s="60"/>
      <c r="J173" s="20"/>
      <c r="K173" s="26"/>
      <c r="L173" s="20"/>
      <c r="N173" s="26"/>
      <c r="Q173" s="20"/>
      <c r="R173" s="20"/>
      <c r="S173" s="20"/>
      <c r="T173" s="281"/>
      <c r="W173" s="60"/>
      <c r="Y173" s="30"/>
    </row>
    <row r="174" spans="5:25" ht="18" customHeight="1" ns2:dyDescent="0.3">
      <c r="E174" s="20"/>
      <c r="F174" s="20"/>
      <c r="G174" s="20"/>
      <c r="H174" s="60"/>
      <c r="I174" s="60"/>
      <c r="J174" s="20"/>
      <c r="K174" s="26"/>
      <c r="L174" s="20"/>
      <c r="N174" s="26"/>
      <c r="Q174" s="20"/>
      <c r="R174" s="20"/>
      <c r="S174" s="20"/>
      <c r="T174" s="281"/>
      <c r="W174" s="60"/>
      <c r="Y174" s="30"/>
    </row>
    <row r="175" spans="5:25" ht="18" customHeight="1" ns2:dyDescent="0.3">
      <c r="E175" s="20"/>
      <c r="F175" s="20"/>
      <c r="G175" s="20"/>
      <c r="H175" s="60"/>
      <c r="I175" s="60"/>
      <c r="J175" s="20"/>
      <c r="K175" s="26"/>
      <c r="L175" s="20"/>
      <c r="N175" s="26"/>
      <c r="Q175" s="20"/>
      <c r="R175" s="20"/>
      <c r="S175" s="20"/>
      <c r="T175" s="281"/>
      <c r="W175" s="60"/>
      <c r="Y175" s="30"/>
    </row>
    <row r="176" spans="5:25" ht="18" customHeight="1" ns2:dyDescent="0.3">
      <c r="E176" s="20"/>
      <c r="F176" s="20"/>
      <c r="G176" s="20"/>
      <c r="H176" s="60"/>
      <c r="I176" s="60"/>
      <c r="J176" s="20"/>
      <c r="K176" s="26"/>
      <c r="L176" s="20"/>
      <c r="N176" s="26"/>
      <c r="Q176" s="20"/>
      <c r="R176" s="20"/>
      <c r="S176" s="20"/>
      <c r="T176" s="281"/>
      <c r="W176" s="60"/>
      <c r="Y176" s="30"/>
    </row>
    <row r="177" spans="5:25" ht="18" customHeight="1" ns2:dyDescent="0.3">
      <c r="E177" s="20"/>
      <c r="F177" s="20"/>
      <c r="G177" s="20"/>
      <c r="H177" s="60"/>
      <c r="I177" s="60"/>
      <c r="J177" s="20"/>
      <c r="K177" s="26"/>
      <c r="L177" s="20"/>
      <c r="N177" s="26"/>
      <c r="Q177" s="20"/>
      <c r="R177" s="20"/>
      <c r="S177" s="20"/>
      <c r="T177" s="281"/>
      <c r="W177" s="60"/>
      <c r="Y177" s="30"/>
    </row>
    <row r="178" spans="5:25" ht="18" customHeight="1" ns2:dyDescent="0.3">
      <c r="E178" s="20"/>
      <c r="F178" s="20"/>
      <c r="G178" s="20"/>
      <c r="H178" s="60"/>
      <c r="I178" s="60"/>
      <c r="J178" s="20"/>
      <c r="K178" s="26"/>
      <c r="L178" s="20"/>
      <c r="N178" s="26"/>
      <c r="Q178" s="20"/>
      <c r="R178" s="20"/>
      <c r="S178" s="20"/>
      <c r="T178" s="281"/>
      <c r="W178" s="60"/>
      <c r="Y178" s="30"/>
    </row>
    <row r="179" spans="5:25" ht="18" customHeight="1" ns2:dyDescent="0.3">
      <c r="E179" s="20"/>
      <c r="F179" s="20"/>
      <c r="G179" s="20"/>
      <c r="H179" s="60"/>
      <c r="I179" s="60"/>
      <c r="J179" s="20"/>
      <c r="K179" s="26"/>
      <c r="L179" s="20"/>
      <c r="N179" s="26"/>
      <c r="Q179" s="20"/>
      <c r="R179" s="20"/>
      <c r="S179" s="20"/>
      <c r="T179" s="281"/>
      <c r="W179" s="60"/>
      <c r="Y179" s="30"/>
    </row>
    <row r="180" spans="5:25" ht="18" customHeight="1" ns2:dyDescent="0.3">
      <c r="E180" s="20"/>
      <c r="F180" s="20"/>
      <c r="G180" s="20"/>
      <c r="H180" s="60"/>
      <c r="I180" s="60"/>
      <c r="J180" s="20"/>
      <c r="K180" s="26"/>
      <c r="L180" s="20"/>
      <c r="N180" s="26"/>
      <c r="Q180" s="20"/>
      <c r="R180" s="20"/>
      <c r="S180" s="20"/>
      <c r="T180" s="281"/>
      <c r="W180" s="60"/>
      <c r="Y180" s="30"/>
    </row>
    <row r="181" spans="5:25" ht="18" customHeight="1" ns2:dyDescent="0.3">
      <c r="E181" s="20"/>
      <c r="F181" s="20"/>
      <c r="G181" s="20"/>
      <c r="H181" s="60"/>
      <c r="I181" s="60"/>
      <c r="J181" s="20"/>
      <c r="K181" s="26"/>
      <c r="L181" s="20"/>
      <c r="N181" s="26"/>
      <c r="Q181" s="20"/>
      <c r="R181" s="20"/>
      <c r="S181" s="20"/>
      <c r="T181" s="281"/>
      <c r="W181" s="60"/>
      <c r="Y181" s="30"/>
    </row>
    <row r="182" spans="5:25" ht="18" customHeight="1" ns2:dyDescent="0.3">
      <c r="E182" s="20"/>
      <c r="F182" s="20"/>
      <c r="G182" s="20"/>
      <c r="H182" s="60"/>
      <c r="I182" s="60"/>
      <c r="J182" s="20"/>
      <c r="K182" s="26"/>
      <c r="L182" s="20"/>
      <c r="N182" s="26"/>
      <c r="Q182" s="20"/>
      <c r="R182" s="20"/>
      <c r="S182" s="20"/>
      <c r="T182" s="281"/>
      <c r="W182" s="60"/>
      <c r="Y182" s="30"/>
    </row>
    <row r="183" spans="5:25" ht="18" customHeight="1" ns2:dyDescent="0.3">
      <c r="E183" s="20"/>
      <c r="F183" s="20"/>
      <c r="G183" s="20"/>
      <c r="H183" s="60"/>
      <c r="I183" s="60"/>
      <c r="J183" s="20"/>
      <c r="K183" s="26"/>
      <c r="L183" s="20"/>
      <c r="N183" s="26"/>
      <c r="Q183" s="20"/>
      <c r="R183" s="20"/>
      <c r="S183" s="20"/>
      <c r="T183" s="281"/>
      <c r="W183" s="60"/>
      <c r="Y183" s="30"/>
    </row>
    <row r="184" spans="5:25" ht="18" customHeight="1" ns2:dyDescent="0.3">
      <c r="E184" s="20"/>
      <c r="F184" s="20"/>
      <c r="G184" s="20"/>
      <c r="H184" s="60"/>
      <c r="I184" s="60"/>
      <c r="J184" s="20"/>
      <c r="K184" s="26"/>
      <c r="L184" s="20"/>
      <c r="N184" s="26"/>
      <c r="Q184" s="20"/>
      <c r="R184" s="20"/>
      <c r="S184" s="20"/>
      <c r="T184" s="281"/>
      <c r="W184" s="60"/>
      <c r="Y184" s="30"/>
    </row>
    <row r="185" spans="5:25" ht="18" customHeight="1" ns2:dyDescent="0.3">
      <c r="E185" s="20"/>
      <c r="F185" s="20"/>
      <c r="G185" s="20"/>
      <c r="H185" s="60"/>
      <c r="I185" s="60"/>
      <c r="J185" s="20"/>
      <c r="K185" s="26"/>
      <c r="L185" s="20"/>
      <c r="N185" s="26"/>
      <c r="Q185" s="20"/>
      <c r="R185" s="20"/>
      <c r="S185" s="20"/>
      <c r="T185" s="281"/>
      <c r="W185" s="60"/>
      <c r="Y185" s="30"/>
    </row>
    <row r="186" spans="5:25" ht="18" customHeight="1" ns2:dyDescent="0.3">
      <c r="E186" s="20"/>
      <c r="F186" s="20"/>
      <c r="G186" s="20"/>
      <c r="H186" s="60"/>
      <c r="I186" s="60"/>
      <c r="J186" s="20"/>
      <c r="K186" s="26"/>
      <c r="L186" s="20"/>
      <c r="N186" s="26"/>
      <c r="Q186" s="20"/>
      <c r="R186" s="20"/>
      <c r="S186" s="20"/>
      <c r="T186" s="281"/>
      <c r="W186" s="60"/>
      <c r="Y186" s="30"/>
    </row>
    <row r="187" spans="5:25" ht="18" customHeight="1" ns2:dyDescent="0.3">
      <c r="E187" s="20"/>
      <c r="F187" s="20"/>
      <c r="G187" s="20"/>
      <c r="H187" s="60"/>
      <c r="I187" s="60"/>
      <c r="J187" s="20"/>
      <c r="K187" s="26"/>
      <c r="L187" s="20"/>
      <c r="N187" s="26"/>
      <c r="Q187" s="20"/>
      <c r="R187" s="20"/>
      <c r="S187" s="20"/>
      <c r="T187" s="281"/>
      <c r="W187" s="60"/>
      <c r="Y187" s="30"/>
    </row>
    <row r="188" spans="5:25" ht="18" customHeight="1" ns2:dyDescent="0.3">
      <c r="E188" s="20"/>
      <c r="F188" s="20"/>
      <c r="G188" s="20"/>
      <c r="H188" s="60"/>
      <c r="I188" s="60"/>
      <c r="J188" s="20"/>
      <c r="K188" s="26"/>
      <c r="L188" s="20"/>
      <c r="N188" s="26"/>
      <c r="Q188" s="20"/>
      <c r="R188" s="20"/>
      <c r="S188" s="20"/>
      <c r="T188" s="281"/>
      <c r="W188" s="60"/>
      <c r="Y188" s="30"/>
    </row>
    <row r="189" spans="5:25" ht="18" customHeight="1" ns2:dyDescent="0.3">
      <c r="E189" s="20"/>
      <c r="F189" s="20"/>
      <c r="G189" s="20"/>
      <c r="H189" s="60"/>
      <c r="I189" s="60"/>
      <c r="J189" s="20"/>
      <c r="K189" s="26"/>
      <c r="L189" s="20"/>
      <c r="N189" s="26"/>
      <c r="Q189" s="20"/>
      <c r="R189" s="20"/>
      <c r="S189" s="20"/>
      <c r="T189" s="281"/>
      <c r="W189" s="60"/>
      <c r="Y189" s="30"/>
    </row>
    <row r="190" spans="5:25" ht="18" customHeight="1" ns2:dyDescent="0.3">
      <c r="E190" s="20"/>
      <c r="F190" s="20"/>
      <c r="G190" s="20"/>
      <c r="H190" s="60"/>
      <c r="I190" s="60"/>
      <c r="J190" s="20"/>
      <c r="K190" s="26"/>
      <c r="L190" s="20"/>
      <c r="N190" s="26"/>
      <c r="Q190" s="20"/>
      <c r="R190" s="20"/>
      <c r="S190" s="20"/>
      <c r="T190" s="281"/>
      <c r="W190" s="60"/>
      <c r="Y190" s="30"/>
    </row>
    <row r="191" spans="5:25" ht="18" customHeight="1" ns2:dyDescent="0.3">
      <c r="E191" s="20"/>
      <c r="F191" s="20"/>
      <c r="G191" s="20"/>
      <c r="H191" s="60"/>
      <c r="I191" s="60"/>
      <c r="J191" s="20"/>
      <c r="K191" s="26"/>
      <c r="L191" s="20"/>
      <c r="N191" s="26"/>
      <c r="Q191" s="20"/>
      <c r="R191" s="20"/>
      <c r="S191" s="20"/>
      <c r="T191" s="281"/>
      <c r="W191" s="60"/>
      <c r="Y191" s="30"/>
    </row>
    <row r="192" spans="5:25" ht="18" customHeight="1" ns2:dyDescent="0.3">
      <c r="E192" s="20"/>
      <c r="F192" s="20"/>
      <c r="G192" s="20"/>
      <c r="H192" s="60"/>
      <c r="I192" s="60"/>
      <c r="J192" s="20"/>
      <c r="K192" s="26"/>
      <c r="L192" s="20"/>
      <c r="N192" s="26"/>
      <c r="Q192" s="20"/>
      <c r="R192" s="20"/>
      <c r="S192" s="20"/>
      <c r="T192" s="281"/>
      <c r="W192" s="60"/>
      <c r="Y192" s="30"/>
    </row>
    <row r="193" spans="5:25" ht="18" customHeight="1" ns2:dyDescent="0.3">
      <c r="E193" s="20"/>
      <c r="F193" s="20"/>
      <c r="G193" s="20"/>
      <c r="H193" s="60"/>
      <c r="I193" s="60"/>
      <c r="J193" s="20"/>
      <c r="K193" s="26"/>
      <c r="L193" s="20"/>
      <c r="N193" s="26"/>
      <c r="Q193" s="20"/>
      <c r="R193" s="20"/>
      <c r="S193" s="20"/>
      <c r="T193" s="281"/>
      <c r="W193" s="60"/>
      <c r="Y193" s="30"/>
    </row>
    <row r="194" spans="5:25" ht="18" customHeight="1" ns2:dyDescent="0.3">
      <c r="E194" s="20"/>
      <c r="F194" s="20"/>
      <c r="G194" s="20"/>
      <c r="H194" s="60"/>
      <c r="I194" s="60"/>
      <c r="J194" s="20"/>
      <c r="K194" s="26"/>
      <c r="L194" s="20"/>
      <c r="N194" s="26"/>
      <c r="Q194" s="20"/>
      <c r="R194" s="20"/>
      <c r="S194" s="20"/>
      <c r="T194" s="281"/>
      <c r="W194" s="60"/>
      <c r="Y194" s="30"/>
    </row>
    <row r="195" spans="5:25" ht="18" customHeight="1" ns2:dyDescent="0.3">
      <c r="E195" s="20"/>
      <c r="F195" s="20"/>
      <c r="G195" s="20"/>
      <c r="H195" s="60"/>
      <c r="I195" s="60"/>
      <c r="J195" s="20"/>
      <c r="K195" s="26"/>
      <c r="L195" s="20"/>
      <c r="N195" s="26"/>
      <c r="Q195" s="20"/>
      <c r="R195" s="20"/>
      <c r="S195" s="20"/>
      <c r="T195" s="281"/>
      <c r="W195" s="60"/>
      <c r="Y195" s="30"/>
    </row>
    <row r="196" spans="5:25" ht="18" customHeight="1" ns2:dyDescent="0.3">
      <c r="E196" s="20"/>
      <c r="F196" s="20"/>
      <c r="G196" s="20"/>
      <c r="H196" s="60"/>
      <c r="I196" s="60"/>
      <c r="J196" s="20"/>
      <c r="K196" s="26"/>
      <c r="L196" s="20"/>
      <c r="N196" s="26"/>
      <c r="Q196" s="20"/>
      <c r="R196" s="20"/>
      <c r="S196" s="20"/>
      <c r="T196" s="281"/>
      <c r="W196" s="60"/>
      <c r="Y196" s="30"/>
    </row>
    <row r="197" spans="5:25" ht="18" customHeight="1" ns2:dyDescent="0.3">
      <c r="E197" s="20"/>
      <c r="F197" s="20"/>
      <c r="G197" s="20"/>
      <c r="H197" s="60"/>
      <c r="I197" s="60"/>
      <c r="J197" s="20"/>
      <c r="K197" s="26"/>
      <c r="L197" s="20"/>
      <c r="N197" s="26"/>
      <c r="Q197" s="20"/>
      <c r="R197" s="20"/>
      <c r="S197" s="20"/>
      <c r="T197" s="281"/>
      <c r="W197" s="60"/>
      <c r="Y197" s="30"/>
    </row>
    <row r="198" spans="5:25" ht="18" customHeight="1" ns2:dyDescent="0.3">
      <c r="E198" s="20"/>
      <c r="F198" s="20"/>
      <c r="G198" s="20"/>
      <c r="H198" s="60"/>
      <c r="I198" s="60"/>
      <c r="J198" s="20"/>
      <c r="K198" s="26"/>
      <c r="L198" s="20"/>
      <c r="N198" s="26"/>
      <c r="Q198" s="20"/>
      <c r="R198" s="20"/>
      <c r="S198" s="20"/>
      <c r="T198" s="281"/>
      <c r="W198" s="60"/>
      <c r="Y198" s="30"/>
    </row>
    <row r="199" spans="5:25" ht="18" customHeight="1" ns2:dyDescent="0.3">
      <c r="E199" s="20"/>
      <c r="F199" s="20"/>
      <c r="G199" s="20"/>
      <c r="H199" s="60"/>
      <c r="I199" s="60"/>
      <c r="J199" s="20"/>
      <c r="K199" s="26"/>
      <c r="L199" s="20"/>
      <c r="N199" s="26"/>
      <c r="Q199" s="20"/>
      <c r="R199" s="20"/>
      <c r="S199" s="20"/>
      <c r="T199" s="281"/>
      <c r="W199" s="60"/>
      <c r="Y199" s="30"/>
    </row>
    <row r="200" spans="5:25" ht="18" customHeight="1" ns2:dyDescent="0.3">
      <c r="E200" s="20"/>
      <c r="F200" s="20"/>
      <c r="G200" s="20"/>
      <c r="H200" s="60"/>
      <c r="I200" s="60"/>
      <c r="J200" s="20"/>
      <c r="K200" s="26"/>
      <c r="L200" s="20"/>
      <c r="N200" s="26"/>
      <c r="Q200" s="20"/>
      <c r="R200" s="20"/>
      <c r="S200" s="20"/>
      <c r="T200" s="281"/>
      <c r="W200" s="60"/>
      <c r="Y200" s="30"/>
    </row>
    <row r="201" spans="5:25" ht="18" customHeight="1" ns2:dyDescent="0.3">
      <c r="E201" s="20"/>
      <c r="F201" s="20"/>
      <c r="G201" s="20"/>
      <c r="H201" s="60"/>
      <c r="I201" s="60"/>
      <c r="J201" s="20"/>
      <c r="K201" s="26"/>
      <c r="L201" s="20"/>
      <c r="N201" s="26"/>
      <c r="Q201" s="20"/>
      <c r="R201" s="20"/>
      <c r="S201" s="20"/>
      <c r="T201" s="281"/>
      <c r="W201" s="60"/>
      <c r="Y201" s="30"/>
    </row>
    <row r="202" spans="5:25" ht="18" customHeight="1" ns2:dyDescent="0.3">
      <c r="E202" s="20"/>
      <c r="F202" s="20"/>
      <c r="G202" s="20"/>
      <c r="H202" s="60"/>
      <c r="I202" s="60"/>
      <c r="J202" s="20"/>
      <c r="K202" s="26"/>
      <c r="L202" s="20"/>
      <c r="N202" s="26"/>
      <c r="Q202" s="20"/>
      <c r="R202" s="20"/>
      <c r="S202" s="20"/>
      <c r="T202" s="281"/>
      <c r="W202" s="60"/>
      <c r="Y202" s="30"/>
    </row>
    <row r="203" spans="5:25" ht="18" customHeight="1" ns2:dyDescent="0.3">
      <c r="E203" s="20"/>
      <c r="F203" s="20"/>
      <c r="G203" s="20"/>
      <c r="H203" s="60"/>
      <c r="I203" s="60"/>
      <c r="J203" s="20"/>
      <c r="K203" s="26"/>
      <c r="L203" s="20"/>
      <c r="N203" s="26"/>
      <c r="Q203" s="20"/>
      <c r="R203" s="20"/>
      <c r="S203" s="20"/>
      <c r="W203" s="60"/>
      <c r="Y203" s="30"/>
    </row>
    <row r="204" spans="5:25" ht="18" customHeight="1" ns2:dyDescent="0.3">
      <c r="H204" s="60"/>
      <c r="I204" s="60"/>
      <c r="K204" s="26"/>
      <c r="N204" s="26"/>
      <c r="W204" s="60"/>
      <c r="Y204" s="30"/>
    </row>
    <row r="205" spans="5:25" ht="18" customHeight="1" ns2:dyDescent="0.3">
      <c r="H205" s="60"/>
      <c r="I205" s="60"/>
      <c r="K205" s="26"/>
      <c r="N205" s="26"/>
      <c r="W205" s="60"/>
      <c r="Y205" s="30"/>
    </row>
    <row r="206" spans="5:25" ht="18" customHeight="1" ns2:dyDescent="0.3">
      <c r="H206" s="60"/>
      <c r="I206" s="60"/>
      <c r="K206" s="26"/>
      <c r="N206" s="26"/>
      <c r="W206" s="60"/>
      <c r="Y206" s="30"/>
    </row>
    <row r="207" spans="5:25" ht="18" customHeight="1" ns2:dyDescent="0.3">
      <c r="H207" s="60"/>
      <c r="I207" s="60"/>
      <c r="K207" s="26"/>
      <c r="N207" s="26"/>
      <c r="W207" s="60"/>
      <c r="Y207" s="30"/>
    </row>
    <row r="208" spans="5:25" ht="18" customHeight="1" ns2:dyDescent="0.3">
      <c r="H208" s="60"/>
      <c r="I208" s="60"/>
      <c r="K208" s="26"/>
      <c r="N208" s="26"/>
      <c r="W208" s="60"/>
      <c r="Y208" s="30"/>
    </row>
    <row r="209" spans="8:25" ht="18" customHeight="1" ns2:dyDescent="0.3">
      <c r="H209" s="60"/>
      <c r="I209" s="60"/>
      <c r="K209" s="26"/>
      <c r="N209" s="26"/>
      <c r="W209" s="60"/>
      <c r="Y209" s="30"/>
    </row>
    <row r="210" spans="8:25" ht="18" customHeight="1" ns2:dyDescent="0.3">
      <c r="H210" s="60"/>
      <c r="I210" s="60"/>
      <c r="K210" s="26"/>
      <c r="N210" s="26"/>
      <c r="W210" s="60"/>
      <c r="Y210" s="30"/>
    </row>
    <row r="211" spans="8:25" ht="18" customHeight="1" ns2:dyDescent="0.3">
      <c r="H211" s="60"/>
      <c r="I211" s="60"/>
      <c r="K211" s="26"/>
      <c r="N211" s="26"/>
      <c r="W211" s="60"/>
      <c r="Y211" s="30"/>
    </row>
    <row r="212" spans="8:25" ht="18" customHeight="1" ns2:dyDescent="0.3">
      <c r="H212" s="60"/>
      <c r="I212" s="60"/>
      <c r="K212" s="26"/>
      <c r="N212" s="26"/>
      <c r="W212" s="60"/>
      <c r="Y212" s="30"/>
    </row>
    <row r="213" spans="8:25" ht="18" customHeight="1" ns2:dyDescent="0.3">
      <c r="H213" s="60"/>
      <c r="I213" s="60"/>
      <c r="K213" s="26"/>
      <c r="N213" s="26"/>
      <c r="W213" s="60"/>
      <c r="Y213" s="30"/>
    </row>
    <row r="214" spans="8:25" ht="18" customHeight="1" ns2:dyDescent="0.3">
      <c r="H214" s="60"/>
      <c r="I214" s="60"/>
      <c r="K214" s="26"/>
      <c r="N214" s="26"/>
      <c r="W214" s="60"/>
      <c r="Y214" s="30"/>
    </row>
    <row r="215" spans="8:25" ht="18" customHeight="1" ns2:dyDescent="0.3">
      <c r="H215" s="60"/>
      <c r="I215" s="60"/>
      <c r="K215" s="26"/>
      <c r="N215" s="26"/>
      <c r="W215" s="60"/>
      <c r="Y215" s="30"/>
    </row>
    <row r="216" spans="8:25" ht="18" customHeight="1" ns2:dyDescent="0.3">
      <c r="H216" s="60"/>
      <c r="I216" s="60"/>
      <c r="K216" s="26"/>
      <c r="N216" s="26"/>
      <c r="W216" s="60"/>
      <c r="Y216" s="30"/>
    </row>
    <row r="217" spans="8:25" ht="18" customHeight="1" ns2:dyDescent="0.3">
      <c r="H217" s="60"/>
      <c r="I217" s="60"/>
      <c r="K217" s="26"/>
      <c r="N217" s="26"/>
      <c r="W217" s="60"/>
      <c r="Y217" s="30"/>
    </row>
    <row r="218" spans="8:25" ht="18" customHeight="1" ns2:dyDescent="0.3">
      <c r="H218" s="60"/>
      <c r="I218" s="60"/>
      <c r="K218" s="26"/>
      <c r="N218" s="26"/>
      <c r="W218" s="60"/>
      <c r="Y218" s="30"/>
    </row>
    <row r="219" spans="8:25" ht="18" customHeight="1" ns2:dyDescent="0.3">
      <c r="H219" s="60"/>
      <c r="I219" s="60"/>
      <c r="K219" s="26"/>
      <c r="N219" s="26"/>
      <c r="W219" s="60"/>
      <c r="Y219" s="30"/>
    </row>
    <row r="220" spans="8:25" ht="18" customHeight="1" ns2:dyDescent="0.3">
      <c r="H220" s="60"/>
      <c r="I220" s="60"/>
      <c r="K220" s="26"/>
      <c r="N220" s="26"/>
      <c r="W220" s="60"/>
      <c r="Y220" s="30"/>
    </row>
    <row r="221" spans="8:25" ht="18" customHeight="1" ns2:dyDescent="0.3">
      <c r="H221" s="60"/>
      <c r="I221" s="60"/>
      <c r="K221" s="26"/>
      <c r="N221" s="26"/>
      <c r="W221" s="60"/>
      <c r="Y221" s="30"/>
    </row>
    <row r="222" spans="8:25" ht="18" customHeight="1" ns2:dyDescent="0.3">
      <c r="H222" s="60"/>
      <c r="I222" s="60"/>
      <c r="K222" s="26"/>
      <c r="N222" s="26"/>
      <c r="W222" s="60"/>
      <c r="Y222" s="30"/>
    </row>
    <row r="223" spans="8:25" ht="18" customHeight="1" ns2:dyDescent="0.3">
      <c r="H223" s="60"/>
      <c r="I223" s="60"/>
      <c r="K223" s="26"/>
      <c r="N223" s="26"/>
      <c r="W223" s="60"/>
      <c r="Y223" s="30"/>
    </row>
    <row r="224" spans="8:25" ht="18" customHeight="1" ns2:dyDescent="0.3">
      <c r="H224" s="60"/>
      <c r="I224" s="60"/>
      <c r="K224" s="26"/>
      <c r="N224" s="26"/>
      <c r="W224" s="60"/>
      <c r="Y224" s="30"/>
    </row>
    <row r="225" spans="8:25" ht="18" customHeight="1" ns2:dyDescent="0.3">
      <c r="H225" s="60"/>
      <c r="I225" s="60"/>
      <c r="K225" s="26"/>
      <c r="N225" s="26"/>
      <c r="W225" s="60"/>
      <c r="Y225" s="30"/>
    </row>
    <row r="226" spans="8:25" ht="18" customHeight="1" ns2:dyDescent="0.3">
      <c r="H226" s="60"/>
      <c r="I226" s="60"/>
      <c r="K226" s="26"/>
      <c r="N226" s="26"/>
      <c r="W226" s="60"/>
      <c r="Y226" s="30"/>
    </row>
    <row r="227" spans="8:25" ht="18" customHeight="1" ns2:dyDescent="0.3">
      <c r="H227" s="60"/>
      <c r="I227" s="60"/>
      <c r="K227" s="26"/>
      <c r="N227" s="26"/>
      <c r="W227" s="60"/>
      <c r="Y227" s="30"/>
    </row>
    <row r="228" spans="8:25" ht="18" customHeight="1" ns2:dyDescent="0.3">
      <c r="H228" s="60"/>
      <c r="I228" s="60"/>
      <c r="K228" s="26"/>
      <c r="N228" s="26"/>
      <c r="W228" s="60"/>
      <c r="Y228" s="30"/>
    </row>
    <row r="229" spans="8:25" ht="18" customHeight="1" ns2:dyDescent="0.3">
      <c r="H229" s="60"/>
      <c r="I229" s="60"/>
      <c r="K229" s="26"/>
      <c r="N229" s="26"/>
      <c r="W229" s="60"/>
      <c r="Y229" s="30"/>
    </row>
    <row r="230" spans="8:25" ht="18" customHeight="1" ns2:dyDescent="0.3">
      <c r="H230" s="60"/>
      <c r="I230" s="60"/>
      <c r="K230" s="26"/>
      <c r="N230" s="26"/>
      <c r="W230" s="60"/>
      <c r="Y230" s="30"/>
    </row>
    <row r="231" spans="8:25" ht="18" customHeight="1" ns2:dyDescent="0.3">
      <c r="H231" s="60"/>
      <c r="I231" s="60"/>
      <c r="K231" s="26"/>
      <c r="N231" s="26"/>
      <c r="W231" s="60"/>
      <c r="Y231" s="30"/>
    </row>
    <row r="232" spans="8:25" ht="18" customHeight="1" ns2:dyDescent="0.3">
      <c r="H232" s="60"/>
      <c r="I232" s="60"/>
      <c r="K232" s="26"/>
      <c r="N232" s="26"/>
      <c r="W232" s="60"/>
      <c r="Y232" s="30"/>
    </row>
    <row r="233" spans="8:25" ht="18" customHeight="1" ns2:dyDescent="0.3">
      <c r="H233" s="60"/>
      <c r="K233" s="26"/>
      <c r="N233" s="26"/>
      <c r="W233" s="60"/>
      <c r="Y233" s="30"/>
    </row>
    <row r="234" spans="8:25" ht="18" customHeight="1" ns2:dyDescent="0.3">
      <c r="H234" s="60"/>
      <c r="K234" s="26"/>
      <c r="N234" s="26"/>
      <c r="W234" s="60"/>
      <c r="Y234" s="30"/>
    </row>
    <row r="235" spans="8:25" ht="18" customHeight="1" ns2:dyDescent="0.3">
      <c r="H235" s="60"/>
      <c r="K235" s="26"/>
      <c r="N235" s="26"/>
      <c r="W235" s="60"/>
      <c r="Y235" s="30"/>
    </row>
    <row r="236" spans="8:25" ht="18" customHeight="1" ns2:dyDescent="0.3">
      <c r="H236" s="60"/>
      <c r="K236" s="26"/>
      <c r="N236" s="26"/>
      <c r="W236" s="60"/>
      <c r="Y236" s="30"/>
    </row>
    <row r="237" spans="8:25" ht="18" customHeight="1" ns2:dyDescent="0.3">
      <c r="H237" s="60"/>
      <c r="K237" s="26"/>
      <c r="N237" s="26"/>
      <c r="W237" s="60"/>
      <c r="Y237" s="30"/>
    </row>
    <row r="238" spans="8:25" ht="18" customHeight="1" ns2:dyDescent="0.3">
      <c r="H238" s="60"/>
      <c r="K238" s="26"/>
      <c r="N238" s="26"/>
      <c r="W238" s="60"/>
      <c r="Y238" s="30"/>
    </row>
    <row r="239" spans="8:25" ht="18" customHeight="1" ns2:dyDescent="0.3">
      <c r="H239" s="60"/>
      <c r="K239" s="26"/>
      <c r="N239" s="26"/>
      <c r="W239" s="60"/>
      <c r="Y239" s="30"/>
    </row>
    <row r="240" spans="8:25" ht="18" customHeight="1" ns2:dyDescent="0.3">
      <c r="H240" s="60"/>
      <c r="K240" s="26"/>
      <c r="N240" s="26"/>
      <c r="W240" s="60"/>
      <c r="Y240" s="30"/>
    </row>
    <row r="241" spans="8:25" ht="18" customHeight="1" ns2:dyDescent="0.3">
      <c r="H241" s="60"/>
      <c r="K241" s="26"/>
      <c r="N241" s="26"/>
      <c r="W241" s="60"/>
      <c r="Y241" s="30"/>
    </row>
    <row r="242" spans="8:25" ht="18" customHeight="1" ns2:dyDescent="0.3">
      <c r="H242" s="60"/>
      <c r="K242" s="26"/>
      <c r="N242" s="26"/>
      <c r="W242" s="60"/>
      <c r="Y242" s="30"/>
    </row>
    <row r="243" spans="8:25" ht="18" customHeight="1" ns2:dyDescent="0.3">
      <c r="H243" s="60"/>
      <c r="K243" s="26"/>
      <c r="N243" s="26"/>
      <c r="W243" s="60"/>
      <c r="Y243" s="30"/>
    </row>
    <row r="244" spans="8:25" ht="18" customHeight="1" ns2:dyDescent="0.3">
      <c r="H244" s="60"/>
      <c r="K244" s="26"/>
      <c r="N244" s="26"/>
      <c r="W244" s="60"/>
      <c r="Y244" s="30"/>
    </row>
    <row r="245" spans="8:25" ht="18" customHeight="1" ns2:dyDescent="0.3">
      <c r="H245" s="60"/>
      <c r="K245" s="26"/>
      <c r="N245" s="26"/>
      <c r="W245" s="60"/>
      <c r="Y245" s="30"/>
    </row>
    <row r="246" spans="8:25" ht="18" customHeight="1" ns2:dyDescent="0.3">
      <c r="H246" s="60"/>
      <c r="K246" s="26"/>
      <c r="N246" s="26"/>
      <c r="W246" s="60"/>
      <c r="Y246" s="30"/>
    </row>
    <row r="247" spans="8:25" ht="18" customHeight="1" ns2:dyDescent="0.3">
      <c r="H247" s="60"/>
      <c r="K247" s="26"/>
      <c r="N247" s="26"/>
      <c r="W247" s="60"/>
      <c r="Y247" s="30"/>
    </row>
    <row r="248" spans="8:25" ht="18" customHeight="1" ns2:dyDescent="0.3">
      <c r="H248" s="60"/>
      <c r="K248" s="26"/>
      <c r="N248" s="26"/>
      <c r="W248" s="60"/>
      <c r="Y248" s="30"/>
    </row>
    <row r="249" spans="8:25" ht="18" customHeight="1" ns2:dyDescent="0.3">
      <c r="H249" s="60"/>
      <c r="K249" s="26"/>
      <c r="N249" s="26"/>
      <c r="W249" s="60"/>
      <c r="Y249" s="30"/>
    </row>
    <row r="250" spans="8:25" ht="18" customHeight="1" ns2:dyDescent="0.3">
      <c r="H250" s="60"/>
      <c r="K250" s="26"/>
      <c r="N250" s="26"/>
      <c r="W250" s="60"/>
      <c r="Y250" s="30"/>
    </row>
    <row r="251" spans="8:25" ht="18" customHeight="1" ns2:dyDescent="0.3">
      <c r="H251" s="60"/>
      <c r="K251" s="26"/>
      <c r="N251" s="26"/>
      <c r="W251" s="60"/>
      <c r="Y251" s="30"/>
    </row>
    <row r="252" spans="8:25" ht="18" customHeight="1" ns2:dyDescent="0.3">
      <c r="H252" s="60"/>
      <c r="K252" s="26"/>
      <c r="N252" s="26"/>
      <c r="W252" s="60"/>
      <c r="Y252" s="30"/>
    </row>
    <row r="253" spans="8:25" ht="18" customHeight="1" ns2:dyDescent="0.3">
      <c r="H253" s="60"/>
      <c r="K253" s="26"/>
      <c r="N253" s="26"/>
      <c r="W253" s="60"/>
      <c r="Y253" s="30"/>
    </row>
    <row r="254" spans="8:25" ht="18" customHeight="1" ns2:dyDescent="0.3">
      <c r="H254" s="60"/>
      <c r="K254" s="26"/>
      <c r="N254" s="26"/>
      <c r="W254" s="60"/>
      <c r="Y254" s="30"/>
    </row>
    <row r="255" spans="8:25" ht="18" customHeight="1" ns2:dyDescent="0.3">
      <c r="H255" s="60"/>
      <c r="K255" s="26"/>
      <c r="N255" s="26"/>
      <c r="W255" s="60"/>
      <c r="Y255" s="30"/>
    </row>
    <row r="256" spans="8:25" ht="18" customHeight="1" ns2:dyDescent="0.3">
      <c r="H256" s="60"/>
      <c r="K256" s="26"/>
      <c r="N256" s="26"/>
      <c r="W256" s="60"/>
      <c r="Y256" s="30"/>
    </row>
    <row r="257" spans="8:25" ht="18" customHeight="1" ns2:dyDescent="0.3">
      <c r="H257" s="60"/>
      <c r="K257" s="26"/>
      <c r="N257" s="26"/>
      <c r="W257" s="60"/>
      <c r="Y257" s="30"/>
    </row>
    <row r="258" spans="8:25" ht="18" customHeight="1" ns2:dyDescent="0.3">
      <c r="H258" s="60"/>
      <c r="K258" s="26"/>
      <c r="N258" s="26"/>
      <c r="W258" s="60"/>
      <c r="Y258" s="30"/>
    </row>
    <row r="259" spans="8:25" ht="18" customHeight="1" ns2:dyDescent="0.3">
      <c r="H259" s="60"/>
      <c r="K259" s="26"/>
      <c r="N259" s="26"/>
      <c r="W259" s="60"/>
      <c r="Y259" s="30"/>
    </row>
    <row r="260" spans="8:25" ht="18" customHeight="1" ns2:dyDescent="0.3">
      <c r="H260" s="60"/>
      <c r="K260" s="26"/>
      <c r="N260" s="26"/>
      <c r="W260" s="60"/>
      <c r="Y260" s="30"/>
    </row>
    <row r="261" spans="8:25" ht="18" customHeight="1" ns2:dyDescent="0.3">
      <c r="H261" s="60"/>
      <c r="K261" s="26"/>
      <c r="N261" s="26"/>
      <c r="W261" s="60"/>
      <c r="Y261" s="30"/>
    </row>
    <row r="262" spans="8:25" ht="18" customHeight="1" ns2:dyDescent="0.3">
      <c r="H262" s="60"/>
      <c r="K262" s="26"/>
      <c r="N262" s="26"/>
      <c r="W262" s="60"/>
      <c r="Y262" s="30"/>
    </row>
    <row r="263" spans="8:25" ht="18" customHeight="1" ns2:dyDescent="0.3">
      <c r="H263" s="60"/>
      <c r="K263" s="26"/>
      <c r="N263" s="26"/>
      <c r="W263" s="60"/>
      <c r="Y263" s="30"/>
    </row>
    <row r="264" spans="8:25" ht="18" customHeight="1" ns2:dyDescent="0.3">
      <c r="H264" s="60"/>
      <c r="K264" s="26"/>
      <c r="N264" s="26"/>
      <c r="W264" s="60"/>
      <c r="Y264" s="30"/>
    </row>
    <row r="265" spans="8:25" ht="18" customHeight="1" ns2:dyDescent="0.3">
      <c r="H265" s="60"/>
      <c r="K265" s="26"/>
      <c r="N265" s="26"/>
      <c r="W265" s="60"/>
      <c r="Y265" s="30"/>
    </row>
    <row r="266" spans="8:25" ht="18" customHeight="1" ns2:dyDescent="0.3">
      <c r="H266" s="60"/>
      <c r="K266" s="26"/>
      <c r="N266" s="26"/>
      <c r="W266" s="60"/>
      <c r="Y266" s="30"/>
    </row>
    <row r="267" spans="8:25" ht="18" customHeight="1" ns2:dyDescent="0.3">
      <c r="H267" s="60"/>
      <c r="K267" s="26"/>
      <c r="N267" s="26"/>
      <c r="W267" s="60"/>
      <c r="Y267" s="30"/>
    </row>
    <row r="268" spans="8:25" ht="18" customHeight="1" ns2:dyDescent="0.3">
      <c r="H268" s="60"/>
      <c r="K268" s="26"/>
      <c r="N268" s="26"/>
      <c r="W268" s="60"/>
      <c r="Y268" s="30"/>
    </row>
    <row r="269" spans="8:25" ht="18" customHeight="1" ns2:dyDescent="0.3">
      <c r="H269" s="60"/>
      <c r="K269" s="26"/>
      <c r="N269" s="26"/>
      <c r="W269" s="60"/>
      <c r="Y269" s="30"/>
    </row>
    <row r="270" spans="8:25" ht="18" customHeight="1" ns2:dyDescent="0.3">
      <c r="H270" s="60"/>
      <c r="K270" s="26"/>
      <c r="N270" s="26"/>
      <c r="W270" s="60"/>
      <c r="X270" s="20"/>
    </row>
    <row r="271" spans="8:25" ht="18" customHeight="1" ns2:dyDescent="0.3">
      <c r="H271" s="60"/>
      <c r="K271" s="26"/>
      <c r="N271" s="26"/>
      <c r="W271" s="60"/>
      <c r="X271" s="20"/>
    </row>
    <row r="272" spans="8:25" ht="18" customHeight="1" ns2:dyDescent="0.3">
      <c r="H272" s="60"/>
      <c r="K272" s="26"/>
      <c r="N272" s="26"/>
      <c r="W272" s="60"/>
      <c r="X272" s="20"/>
    </row>
    <row r="273" spans="8:24" ht="18" customHeight="1" ns2:dyDescent="0.3">
      <c r="H273" s="60"/>
      <c r="K273" s="26"/>
      <c r="N273" s="26"/>
      <c r="W273" s="60"/>
      <c r="X273" s="20"/>
    </row>
    <row r="274" spans="8:24" ht="18" customHeight="1" ns2:dyDescent="0.3">
      <c r="H274" s="60"/>
      <c r="K274" s="26"/>
      <c r="N274" s="26"/>
      <c r="W274" s="60"/>
      <c r="X274" s="20"/>
    </row>
    <row r="275" spans="8:24" ht="18" customHeight="1" ns2:dyDescent="0.3">
      <c r="H275" s="60"/>
      <c r="K275" s="26"/>
      <c r="N275" s="26"/>
      <c r="W275" s="60"/>
      <c r="X275" s="20"/>
    </row>
    <row r="276" spans="8:24" ht="18" customHeight="1" ns2:dyDescent="0.3">
      <c r="H276" s="60"/>
      <c r="K276" s="26"/>
      <c r="N276" s="26"/>
      <c r="W276" s="60"/>
      <c r="X276" s="20"/>
    </row>
    <row r="277" spans="8:24" ht="18" customHeight="1" ns2:dyDescent="0.3">
      <c r="H277" s="60"/>
      <c r="K277" s="26"/>
      <c r="N277" s="26"/>
      <c r="W277" s="60"/>
      <c r="X277" s="24"/>
    </row>
    <row r="278" spans="8:24" ht="18" customHeight="1" ns2:dyDescent="0.3">
      <c r="H278" s="60"/>
      <c r="K278" s="26"/>
      <c r="N278" s="26"/>
      <c r="W278" s="60"/>
      <c r="X278" s="22"/>
    </row>
    <row r="279" spans="8:24" ht="18" customHeight="1" ns2:dyDescent="0.3">
      <c r="H279" s="60"/>
      <c r="K279" s="26"/>
      <c r="N279" s="26"/>
      <c r="W279" s="60"/>
      <c r="X279" s="22"/>
    </row>
    <row r="280" spans="8:24" ht="18" customHeight="1" ns2:dyDescent="0.3">
      <c r="H280" s="60"/>
      <c r="K280" s="26"/>
      <c r="N280" s="26"/>
      <c r="W280" s="60"/>
      <c r="X280" s="22"/>
    </row>
    <row r="281" spans="8:24" ht="18" customHeight="1" ns2:dyDescent="0.3">
      <c r="H281" s="60"/>
      <c r="K281" s="26"/>
      <c r="N281" s="26"/>
      <c r="W281" s="60"/>
      <c r="X281" s="22"/>
    </row>
    <row r="282" spans="8:24" ht="18" customHeight="1" ns2:dyDescent="0.3">
      <c r="H282" s="60"/>
      <c r="K282" s="26"/>
      <c r="N282" s="26"/>
      <c r="W282" s="60"/>
      <c r="X282" s="22"/>
    </row>
    <row r="283" spans="8:24" ht="18" customHeight="1" ns2:dyDescent="0.3">
      <c r="H283" s="60"/>
      <c r="K283" s="26"/>
      <c r="N283" s="26"/>
      <c r="W283" s="60"/>
      <c r="X283" s="22"/>
    </row>
    <row r="284" spans="8:24" ht="18" customHeight="1" ns2:dyDescent="0.3">
      <c r="H284" s="60"/>
      <c r="K284" s="26"/>
      <c r="N284" s="26"/>
      <c r="W284" s="60"/>
      <c r="X284" s="22"/>
    </row>
    <row r="285" spans="8:24" ht="18" customHeight="1" ns2:dyDescent="0.3">
      <c r="H285" s="60"/>
      <c r="K285" s="26"/>
      <c r="N285" s="26"/>
      <c r="W285" s="60"/>
    </row>
    <row r="286" spans="8:24" ht="18" customHeight="1" ns2:dyDescent="0.3">
      <c r="H286" s="60"/>
      <c r="K286" s="26"/>
      <c r="N286" s="26"/>
      <c r="W286" s="60"/>
    </row>
    <row r="287" spans="8:24" ht="18" customHeight="1" ns2:dyDescent="0.3">
      <c r="H287" s="60"/>
      <c r="K287" s="26"/>
      <c r="N287" s="26"/>
      <c r="W287" s="60"/>
    </row>
    <row r="288" spans="8:24" ht="18" customHeight="1" ns2:dyDescent="0.3">
      <c r="H288" s="60"/>
      <c r="K288" s="26"/>
      <c r="N288" s="26"/>
      <c r="W288" s="60"/>
    </row>
    <row r="289" spans="8:23" ht="18" customHeight="1" ns2:dyDescent="0.3">
      <c r="H289" s="60"/>
      <c r="K289" s="26"/>
      <c r="N289" s="26"/>
      <c r="W289" s="60"/>
    </row>
    <row r="290" spans="8:23" ht="18" customHeight="1" ns2:dyDescent="0.3">
      <c r="H290" s="60"/>
      <c r="K290" s="26"/>
      <c r="N290" s="26"/>
      <c r="W290" s="60"/>
    </row>
    <row r="291" spans="8:23" ht="18" customHeight="1" ns2:dyDescent="0.3">
      <c r="H291" s="60"/>
      <c r="K291" s="26"/>
      <c r="N291" s="26"/>
      <c r="W291" s="60"/>
    </row>
    <row r="292" spans="8:23" ht="18" customHeight="1" ns2:dyDescent="0.3">
      <c r="H292" s="60"/>
      <c r="K292" s="26"/>
      <c r="N292" s="26"/>
      <c r="W292" s="60"/>
    </row>
    <row r="293" spans="8:23" ht="18" customHeight="1" ns2:dyDescent="0.3">
      <c r="H293" s="60"/>
      <c r="K293" s="26"/>
      <c r="N293" s="26"/>
      <c r="W293" s="60"/>
    </row>
    <row r="294" spans="8:23" ht="18" customHeight="1" ns2:dyDescent="0.3">
      <c r="H294" s="60"/>
      <c r="K294" s="26"/>
      <c r="N294" s="26"/>
      <c r="W294" s="60"/>
    </row>
    <row r="295" spans="8:23" ht="18" customHeight="1" ns2:dyDescent="0.3">
      <c r="H295" s="60"/>
      <c r="K295" s="26"/>
      <c r="N295" s="26"/>
      <c r="W295" s="60"/>
    </row>
    <row r="296" spans="8:23" ht="18" customHeight="1" ns2:dyDescent="0.3">
      <c r="H296" s="60"/>
      <c r="K296" s="26"/>
      <c r="N296" s="26"/>
      <c r="W296" s="60"/>
    </row>
    <row r="297" spans="8:23" ht="18" customHeight="1" ns2:dyDescent="0.3">
      <c r="H297" s="60"/>
      <c r="K297" s="26"/>
      <c r="N297" s="26"/>
      <c r="W297" s="60"/>
    </row>
    <row r="298" spans="8:23" ht="18" customHeight="1" ns2:dyDescent="0.3">
      <c r="H298" s="60"/>
      <c r="K298" s="26"/>
      <c r="N298" s="26"/>
      <c r="W298" s="60"/>
    </row>
    <row r="299" spans="8:23" ht="18" customHeight="1" ns2:dyDescent="0.3">
      <c r="H299" s="60"/>
      <c r="K299" s="26"/>
      <c r="N299" s="26"/>
      <c r="W299" s="60"/>
    </row>
    <row r="300" spans="8:23" ht="18" customHeight="1" ns2:dyDescent="0.3">
      <c r="H300" s="60"/>
      <c r="K300" s="26"/>
      <c r="N300" s="26"/>
      <c r="W300" s="60"/>
    </row>
    <row r="301" spans="8:23" ht="18" customHeight="1" ns2:dyDescent="0.3">
      <c r="H301" s="60"/>
      <c r="K301" s="26"/>
      <c r="N301" s="26"/>
      <c r="W301" s="60"/>
    </row>
    <row r="302" spans="8:23" ht="18" customHeight="1" ns2:dyDescent="0.3">
      <c r="H302" s="60"/>
      <c r="K302" s="26"/>
      <c r="N302" s="26"/>
      <c r="W302" s="60"/>
    </row>
    <row r="303" spans="8:23" ht="18" customHeight="1" ns2:dyDescent="0.3">
      <c r="H303" s="60"/>
      <c r="K303" s="26"/>
      <c r="N303" s="26"/>
      <c r="W303" s="60"/>
    </row>
    <row r="304" spans="8:23" ht="18" customHeight="1" ns2:dyDescent="0.3">
      <c r="H304" s="60"/>
      <c r="K304" s="26"/>
      <c r="N304" s="26"/>
      <c r="W304" s="60"/>
    </row>
    <row r="305" spans="8:23" ht="18" customHeight="1" ns2:dyDescent="0.3">
      <c r="H305" s="60"/>
      <c r="K305" s="26"/>
      <c r="N305" s="26"/>
      <c r="W305" s="60"/>
    </row>
    <row r="306" spans="8:23" ht="18" customHeight="1" ns2:dyDescent="0.3">
      <c r="H306" s="60"/>
      <c r="K306" s="26"/>
      <c r="N306" s="26"/>
      <c r="W306" s="60"/>
    </row>
    <row r="307" spans="8:23" ht="18" customHeight="1" ns2:dyDescent="0.3">
      <c r="H307" s="60"/>
      <c r="K307" s="26"/>
      <c r="N307" s="26"/>
      <c r="W307" s="60"/>
    </row>
    <row r="308" spans="8:23" ht="18" customHeight="1" ns2:dyDescent="0.3">
      <c r="H308" s="60"/>
      <c r="K308" s="26"/>
      <c r="N308" s="26"/>
      <c r="W308" s="60"/>
    </row>
    <row r="309" spans="8:23" ht="18" customHeight="1" ns2:dyDescent="0.3">
      <c r="H309" s="60"/>
      <c r="K309" s="26"/>
      <c r="N309" s="26"/>
      <c r="W309" s="60"/>
    </row>
    <row r="310" spans="8:23" ht="18" customHeight="1" ns2:dyDescent="0.3">
      <c r="H310" s="60"/>
      <c r="K310" s="26"/>
      <c r="N310" s="26"/>
      <c r="W310" s="60"/>
    </row>
    <row r="311" spans="8:23" ht="18" customHeight="1" ns2:dyDescent="0.3">
      <c r="H311" s="60"/>
      <c r="K311" s="26"/>
      <c r="N311" s="26"/>
      <c r="W311" s="60"/>
    </row>
    <row r="312" spans="8:23" ht="18" customHeight="1" ns2:dyDescent="0.3">
      <c r="H312" s="60"/>
      <c r="K312" s="26"/>
      <c r="N312" s="26"/>
      <c r="W312" s="60"/>
    </row>
    <row r="313" spans="8:23" ht="18" customHeight="1" ns2:dyDescent="0.3">
      <c r="H313" s="60"/>
      <c r="K313" s="26"/>
      <c r="N313" s="26"/>
      <c r="W313" s="60"/>
    </row>
    <row r="314" spans="8:23" ht="18" customHeight="1" ns2:dyDescent="0.3">
      <c r="H314" s="60"/>
      <c r="K314" s="26"/>
      <c r="N314" s="26"/>
      <c r="W314" s="60"/>
    </row>
    <row r="315" spans="8:23" ht="18" customHeight="1" ns2:dyDescent="0.3">
      <c r="H315" s="60"/>
      <c r="K315" s="26"/>
      <c r="N315" s="26"/>
      <c r="W315" s="60"/>
    </row>
    <row r="316" spans="8:23" ht="18" customHeight="1" ns2:dyDescent="0.3">
      <c r="H316" s="60"/>
      <c r="K316" s="26"/>
      <c r="N316" s="26"/>
      <c r="W316" s="60"/>
    </row>
    <row r="317" spans="8:23" ht="18" customHeight="1" ns2:dyDescent="0.3">
      <c r="H317" s="60"/>
      <c r="K317" s="26"/>
      <c r="N317" s="26"/>
      <c r="W317" s="60"/>
    </row>
    <row r="318" spans="8:23" ht="18" customHeight="1" ns2:dyDescent="0.3">
      <c r="H318" s="60"/>
      <c r="K318" s="26"/>
      <c r="N318" s="26"/>
      <c r="W318" s="60"/>
    </row>
    <row r="319" spans="8:23" ht="18" customHeight="1" ns2:dyDescent="0.3">
      <c r="H319" s="60"/>
      <c r="K319" s="26"/>
      <c r="N319" s="26"/>
      <c r="W319" s="60"/>
    </row>
    <row r="320" spans="8:23" ht="18" customHeight="1" ns2:dyDescent="0.3">
      <c r="H320" s="60"/>
      <c r="K320" s="26"/>
      <c r="N320" s="26"/>
      <c r="W320" s="60"/>
    </row>
    <row r="321" spans="8:23" ht="18" customHeight="1" ns2:dyDescent="0.3">
      <c r="H321" s="60"/>
      <c r="K321" s="26"/>
      <c r="N321" s="26"/>
      <c r="W321" s="60"/>
    </row>
    <row r="322" spans="8:23" ht="18" customHeight="1" ns2:dyDescent="0.3">
      <c r="H322" s="60"/>
      <c r="K322" s="26"/>
      <c r="N322" s="26"/>
      <c r="W322" s="60"/>
    </row>
    <row r="323" spans="8:23" ht="18" customHeight="1" ns2:dyDescent="0.3">
      <c r="H323" s="60"/>
      <c r="K323" s="26"/>
      <c r="N323" s="26"/>
      <c r="W323" s="60"/>
    </row>
    <row r="324" spans="8:23" ht="18" customHeight="1" ns2:dyDescent="0.3">
      <c r="H324" s="60"/>
      <c r="K324" s="26"/>
      <c r="N324" s="26"/>
      <c r="W324" s="60"/>
    </row>
    <row r="325" spans="8:23" ht="18" customHeight="1" ns2:dyDescent="0.3">
      <c r="H325" s="60"/>
      <c r="K325" s="26"/>
      <c r="N325" s="26"/>
      <c r="W325" s="60"/>
    </row>
    <row r="326" spans="8:23" ht="18" customHeight="1" ns2:dyDescent="0.3">
      <c r="H326" s="60"/>
      <c r="K326" s="26"/>
      <c r="N326" s="26"/>
      <c r="W326" s="60"/>
    </row>
    <row r="327" spans="8:23" ht="18" customHeight="1" ns2:dyDescent="0.3">
      <c r="H327" s="60"/>
      <c r="K327" s="26"/>
      <c r="N327" s="26"/>
      <c r="W327" s="60"/>
    </row>
    <row r="328" spans="8:23" ht="18" customHeight="1" ns2:dyDescent="0.3">
      <c r="H328" s="60"/>
      <c r="K328" s="26"/>
      <c r="N328" s="26"/>
      <c r="W328" s="60"/>
    </row>
    <row r="329" spans="8:23" ht="18" customHeight="1" ns2:dyDescent="0.3">
      <c r="H329" s="60"/>
      <c r="K329" s="26"/>
      <c r="N329" s="26"/>
      <c r="W329" s="60"/>
    </row>
    <row r="330" spans="8:23" ht="18" customHeight="1" ns2:dyDescent="0.3">
      <c r="H330" s="60"/>
      <c r="K330" s="26"/>
      <c r="N330" s="26"/>
      <c r="W330" s="60"/>
    </row>
    <row r="331" spans="8:23" ht="18" customHeight="1" ns2:dyDescent="0.3">
      <c r="H331" s="60"/>
      <c r="K331" s="26"/>
      <c r="N331" s="26"/>
      <c r="W331" s="60"/>
    </row>
    <row r="332" spans="8:23" ht="18" customHeight="1" ns2:dyDescent="0.3">
      <c r="H332" s="60"/>
      <c r="K332" s="26"/>
      <c r="N332" s="26"/>
      <c r="W332" s="60"/>
    </row>
    <row r="333" spans="8:23" ht="18" customHeight="1" ns2:dyDescent="0.3">
      <c r="H333" s="60"/>
      <c r="K333" s="26"/>
      <c r="N333" s="26"/>
      <c r="W333" s="60"/>
    </row>
    <row r="334" spans="8:23" ht="18" customHeight="1" ns2:dyDescent="0.3">
      <c r="H334" s="60"/>
      <c r="K334" s="26"/>
      <c r="N334" s="26"/>
      <c r="W334" s="60"/>
    </row>
    <row r="335" spans="8:23" ht="18" customHeight="1" ns2:dyDescent="0.3">
      <c r="H335" s="60"/>
      <c r="K335" s="26"/>
      <c r="N335" s="26"/>
      <c r="W335" s="60"/>
    </row>
    <row r="336" spans="8:23" ht="18" customHeight="1" ns2:dyDescent="0.3">
      <c r="H336" s="60"/>
      <c r="K336" s="26"/>
      <c r="N336" s="26"/>
      <c r="W336" s="60"/>
    </row>
    <row r="337" spans="8:23" ht="18" customHeight="1" ns2:dyDescent="0.3">
      <c r="H337" s="60"/>
      <c r="K337" s="26"/>
      <c r="N337" s="26"/>
      <c r="W337" s="60"/>
    </row>
    <row r="338" spans="8:23" ht="18" customHeight="1" ns2:dyDescent="0.3">
      <c r="H338" s="60"/>
      <c r="K338" s="26"/>
      <c r="N338" s="26"/>
      <c r="W338" s="60"/>
    </row>
    <row r="339" spans="8:23" ht="18" customHeight="1" ns2:dyDescent="0.3">
      <c r="H339" s="60"/>
      <c r="K339" s="26"/>
      <c r="N339" s="26"/>
      <c r="W339" s="60"/>
    </row>
    <row r="340" spans="8:23" ht="18" customHeight="1" ns2:dyDescent="0.3">
      <c r="H340" s="60"/>
      <c r="K340" s="26"/>
      <c r="N340" s="26"/>
      <c r="W340" s="60"/>
    </row>
    <row r="341" spans="8:23" ht="18" customHeight="1" ns2:dyDescent="0.3">
      <c r="H341" s="60"/>
      <c r="K341" s="26"/>
      <c r="N341" s="26"/>
      <c r="W341" s="60"/>
    </row>
    <row r="342" spans="8:23" ht="18" customHeight="1" ns2:dyDescent="0.3">
      <c r="H342" s="60"/>
      <c r="K342" s="26"/>
      <c r="N342" s="26"/>
      <c r="W342" s="60"/>
    </row>
    <row r="343" spans="8:23" ht="18" customHeight="1" ns2:dyDescent="0.3">
      <c r="H343" s="60"/>
      <c r="K343" s="26"/>
      <c r="N343" s="26"/>
      <c r="W343" s="60"/>
    </row>
    <row r="344" spans="8:23" ht="18" customHeight="1" ns2:dyDescent="0.3">
      <c r="H344" s="60"/>
      <c r="K344" s="26"/>
      <c r="N344" s="26"/>
      <c r="W344" s="60"/>
    </row>
    <row r="345" spans="8:23" ht="18" customHeight="1" ns2:dyDescent="0.3">
      <c r="H345" s="60"/>
      <c r="K345" s="26"/>
      <c r="N345" s="26"/>
      <c r="W345" s="60"/>
    </row>
    <row r="346" spans="8:23" ht="18" customHeight="1" ns2:dyDescent="0.3">
      <c r="H346" s="60"/>
      <c r="K346" s="26"/>
      <c r="N346" s="26"/>
      <c r="W346" s="60"/>
    </row>
    <row r="347" spans="8:23" ht="18" customHeight="1" ns2:dyDescent="0.3">
      <c r="H347" s="60"/>
      <c r="K347" s="26"/>
      <c r="N347" s="26"/>
      <c r="W347" s="60"/>
    </row>
    <row r="348" spans="8:23" ht="18" customHeight="1" ns2:dyDescent="0.3">
      <c r="H348" s="60"/>
      <c r="K348" s="26"/>
      <c r="N348" s="26"/>
      <c r="W348" s="60"/>
    </row>
    <row r="349" spans="8:23" ht="18" customHeight="1" ns2:dyDescent="0.3">
      <c r="H349" s="60"/>
      <c r="K349" s="26"/>
      <c r="N349" s="26"/>
      <c r="W349" s="60"/>
    </row>
    <row r="350" spans="8:23" ht="18" customHeight="1" ns2:dyDescent="0.3">
      <c r="H350" s="60"/>
      <c r="K350" s="26"/>
      <c r="N350" s="26"/>
      <c r="W350" s="60"/>
    </row>
    <row r="351" spans="8:23" ht="18" customHeight="1" ns2:dyDescent="0.3">
      <c r="H351" s="60"/>
      <c r="K351" s="26"/>
      <c r="N351" s="26"/>
      <c r="W351" s="60"/>
    </row>
    <row r="352" spans="8:23" ht="18" customHeight="1" ns2:dyDescent="0.3">
      <c r="H352" s="60"/>
      <c r="K352" s="26"/>
      <c r="N352" s="26"/>
      <c r="W352" s="60"/>
    </row>
    <row r="353" spans="8:23" ht="18" customHeight="1" ns2:dyDescent="0.3">
      <c r="H353" s="60"/>
      <c r="K353" s="26"/>
      <c r="N353" s="26"/>
      <c r="W353" s="60"/>
    </row>
    <row r="354" spans="8:23" ht="18" customHeight="1" ns2:dyDescent="0.3">
      <c r="H354" s="60"/>
      <c r="K354" s="26"/>
      <c r="N354" s="26"/>
      <c r="W354" s="60"/>
    </row>
    <row r="355" spans="8:23" ht="18" customHeight="1" ns2:dyDescent="0.3">
      <c r="H355" s="60"/>
      <c r="K355" s="26"/>
      <c r="N355" s="26"/>
      <c r="W355" s="60"/>
    </row>
    <row r="356" spans="8:23" ht="18" customHeight="1" ns2:dyDescent="0.3">
      <c r="H356" s="60"/>
      <c r="K356" s="26"/>
      <c r="N356" s="26"/>
      <c r="W356" s="60"/>
    </row>
    <row r="357" spans="8:23" ht="18" customHeight="1" ns2:dyDescent="0.3">
      <c r="H357" s="60"/>
      <c r="K357" s="26"/>
      <c r="N357" s="26"/>
      <c r="W357" s="60"/>
    </row>
    <row r="358" spans="8:23" ht="18" customHeight="1" ns2:dyDescent="0.3">
      <c r="H358" s="60"/>
      <c r="K358" s="26"/>
      <c r="N358" s="26"/>
      <c r="W358" s="60"/>
    </row>
    <row r="359" spans="8:23" ht="18" customHeight="1" ns2:dyDescent="0.3">
      <c r="H359" s="60"/>
      <c r="K359" s="26"/>
      <c r="N359" s="26"/>
      <c r="W359" s="60"/>
    </row>
    <row r="360" spans="8:23" ht="18" customHeight="1" ns2:dyDescent="0.3">
      <c r="H360" s="60"/>
      <c r="K360" s="26"/>
      <c r="N360" s="26"/>
      <c r="W360" s="60"/>
    </row>
    <row r="361" spans="8:23" ht="18" customHeight="1" ns2:dyDescent="0.3">
      <c r="H361" s="60"/>
      <c r="K361" s="26"/>
      <c r="N361" s="26"/>
      <c r="W361" s="60"/>
    </row>
    <row r="362" spans="8:23" ht="18" customHeight="1" ns2:dyDescent="0.3">
      <c r="H362" s="60"/>
      <c r="K362" s="26"/>
      <c r="N362" s="26"/>
      <c r="W362" s="60"/>
    </row>
    <row r="363" spans="8:23" ht="18" customHeight="1" ns2:dyDescent="0.3">
      <c r="H363" s="60"/>
      <c r="K363" s="26"/>
      <c r="N363" s="26"/>
      <c r="W363" s="60"/>
    </row>
    <row r="364" spans="8:23" ht="18" customHeight="1" ns2:dyDescent="0.3">
      <c r="H364" s="60"/>
      <c r="K364" s="26"/>
      <c r="N364" s="26"/>
      <c r="W364" s="60"/>
    </row>
    <row r="365" spans="8:23" ht="18" customHeight="1" ns2:dyDescent="0.3">
      <c r="H365" s="60"/>
      <c r="K365" s="26"/>
      <c r="N365" s="26"/>
      <c r="W365" s="60"/>
    </row>
    <row r="366" spans="8:23" ht="18" customHeight="1" ns2:dyDescent="0.3">
      <c r="H366" s="60"/>
      <c r="K366" s="26"/>
      <c r="N366" s="26"/>
      <c r="W366" s="60"/>
    </row>
    <row r="367" spans="8:23" ht="18" customHeight="1" ns2:dyDescent="0.3">
      <c r="H367" s="60"/>
      <c r="K367" s="26"/>
      <c r="N367" s="26"/>
      <c r="W367" s="60"/>
    </row>
    <row r="368" spans="8:23" ht="18" customHeight="1" ns2:dyDescent="0.3">
      <c r="H368" s="60"/>
      <c r="K368" s="26"/>
      <c r="N368" s="26"/>
      <c r="W368" s="60"/>
    </row>
    <row r="369" spans="8:23" ht="18" customHeight="1" ns2:dyDescent="0.3">
      <c r="H369" s="60"/>
      <c r="K369" s="26"/>
      <c r="N369" s="26"/>
      <c r="W369" s="60"/>
    </row>
    <row r="370" spans="8:23" ht="18" customHeight="1" ns2:dyDescent="0.3">
      <c r="H370" s="60"/>
      <c r="K370" s="26"/>
      <c r="N370" s="26"/>
      <c r="W370" s="60"/>
    </row>
    <row r="371" spans="8:23" ht="18" customHeight="1" ns2:dyDescent="0.3">
      <c r="H371" s="60"/>
      <c r="K371" s="26"/>
      <c r="N371" s="26"/>
      <c r="W371" s="60"/>
    </row>
    <row r="372" spans="8:23" ht="18" customHeight="1" ns2:dyDescent="0.3">
      <c r="H372" s="60"/>
      <c r="K372" s="26"/>
      <c r="N372" s="26"/>
      <c r="W372" s="60"/>
    </row>
    <row r="373" spans="8:23" ht="18" customHeight="1" ns2:dyDescent="0.3">
      <c r="H373" s="60"/>
      <c r="K373" s="26"/>
      <c r="N373" s="26"/>
      <c r="W373" s="60"/>
    </row>
    <row r="374" spans="8:23" ht="18" customHeight="1" ns2:dyDescent="0.3">
      <c r="H374" s="60"/>
      <c r="K374" s="26"/>
      <c r="N374" s="26"/>
      <c r="W374" s="60"/>
    </row>
    <row r="375" spans="8:23" ht="18" customHeight="1" ns2:dyDescent="0.3">
      <c r="H375" s="60"/>
      <c r="K375" s="26"/>
      <c r="N375" s="26"/>
      <c r="W375" s="60"/>
    </row>
    <row r="376" spans="8:23" ht="18" customHeight="1" ns2:dyDescent="0.3">
      <c r="H376" s="60"/>
      <c r="K376" s="26"/>
      <c r="N376" s="26"/>
      <c r="W376" s="60"/>
    </row>
    <row r="377" spans="8:23" ht="18" customHeight="1" ns2:dyDescent="0.3">
      <c r="H377" s="60"/>
      <c r="K377" s="26"/>
      <c r="N377" s="26"/>
      <c r="W377" s="60"/>
    </row>
    <row r="378" spans="8:23" ht="18" customHeight="1" ns2:dyDescent="0.3">
      <c r="H378" s="60"/>
      <c r="K378" s="26"/>
      <c r="N378" s="26"/>
      <c r="W378" s="60"/>
    </row>
    <row r="379" spans="8:23" ht="18" customHeight="1" ns2:dyDescent="0.3">
      <c r="H379" s="60"/>
      <c r="K379" s="26"/>
      <c r="N379" s="26"/>
      <c r="W379" s="60"/>
    </row>
    <row r="380" spans="8:23" ht="18" customHeight="1" ns2:dyDescent="0.3">
      <c r="H380" s="60"/>
      <c r="K380" s="26"/>
      <c r="N380" s="26"/>
      <c r="W380" s="60"/>
    </row>
    <row r="381" spans="8:23" ht="18" customHeight="1" ns2:dyDescent="0.3">
      <c r="H381" s="60"/>
      <c r="K381" s="26"/>
      <c r="N381" s="26"/>
      <c r="W381" s="60"/>
    </row>
    <row r="382" spans="8:23" ht="18" customHeight="1" ns2:dyDescent="0.3">
      <c r="H382" s="60"/>
      <c r="K382" s="26"/>
      <c r="N382" s="26"/>
      <c r="W382" s="60"/>
    </row>
    <row r="383" spans="8:23" ht="18" customHeight="1" ns2:dyDescent="0.3">
      <c r="H383" s="60"/>
      <c r="K383" s="26"/>
      <c r="N383" s="26"/>
      <c r="W383" s="60"/>
    </row>
    <row r="384" spans="8:23" ht="18" customHeight="1" ns2:dyDescent="0.3">
      <c r="H384" s="60"/>
      <c r="K384" s="26"/>
      <c r="N384" s="26"/>
      <c r="W384" s="60"/>
    </row>
    <row r="385" spans="8:23" ht="18" customHeight="1" ns2:dyDescent="0.3">
      <c r="H385" s="60"/>
      <c r="K385" s="26"/>
      <c r="N385" s="26"/>
      <c r="W385" s="60"/>
    </row>
    <row r="386" spans="8:23" ht="18" customHeight="1" ns2:dyDescent="0.3">
      <c r="H386" s="60"/>
      <c r="K386" s="26"/>
      <c r="N386" s="26"/>
      <c r="W386" s="60"/>
    </row>
    <row r="387" spans="8:23" ht="18" customHeight="1" ns2:dyDescent="0.3">
      <c r="H387" s="60"/>
      <c r="K387" s="26"/>
      <c r="N387" s="26"/>
      <c r="W387" s="60"/>
    </row>
    <row r="388" spans="8:23" ht="18" customHeight="1" ns2:dyDescent="0.3">
      <c r="H388" s="60"/>
      <c r="K388" s="26"/>
      <c r="N388" s="26"/>
      <c r="W388" s="60"/>
    </row>
    <row r="389" spans="8:23" ht="18" customHeight="1" ns2:dyDescent="0.3">
      <c r="H389" s="60"/>
      <c r="K389" s="26"/>
      <c r="N389" s="26"/>
      <c r="W389" s="60"/>
    </row>
    <row r="390" spans="8:23" ht="18" customHeight="1" ns2:dyDescent="0.3">
      <c r="H390" s="60"/>
      <c r="K390" s="26"/>
      <c r="N390" s="26"/>
      <c r="W390" s="60"/>
    </row>
    <row r="391" spans="8:23" ht="18" customHeight="1" ns2:dyDescent="0.3">
      <c r="H391" s="60"/>
      <c r="K391" s="26"/>
      <c r="N391" s="26"/>
      <c r="W391" s="60"/>
    </row>
    <row r="392" spans="8:23" ht="18" customHeight="1" ns2:dyDescent="0.3">
      <c r="H392" s="60"/>
      <c r="K392" s="26"/>
      <c r="N392" s="26"/>
      <c r="W392" s="60"/>
    </row>
    <row r="393" spans="8:23" ht="18" customHeight="1" ns2:dyDescent="0.3">
      <c r="H393" s="60"/>
      <c r="K393" s="26"/>
      <c r="N393" s="26"/>
      <c r="W393" s="60"/>
    </row>
    <row r="394" spans="8:23" ht="18" customHeight="1" ns2:dyDescent="0.3">
      <c r="H394" s="60"/>
      <c r="K394" s="26"/>
      <c r="N394" s="26"/>
      <c r="W394" s="60"/>
    </row>
    <row r="395" spans="8:23" ht="18" customHeight="1" ns2:dyDescent="0.3">
      <c r="H395" s="60"/>
      <c r="K395" s="26"/>
      <c r="N395" s="26"/>
      <c r="W395" s="60"/>
    </row>
    <row r="396" spans="8:23" ht="18" customHeight="1" ns2:dyDescent="0.3">
      <c r="H396" s="60"/>
      <c r="K396" s="26"/>
      <c r="N396" s="26"/>
      <c r="W396" s="60"/>
    </row>
    <row r="397" spans="8:23" ht="18" customHeight="1" ns2:dyDescent="0.3">
      <c r="H397" s="60"/>
      <c r="K397" s="26"/>
      <c r="N397" s="26"/>
      <c r="W397" s="60"/>
    </row>
    <row r="398" spans="8:23" ht="18" customHeight="1" ns2:dyDescent="0.3">
      <c r="H398" s="60"/>
      <c r="K398" s="26"/>
      <c r="N398" s="26"/>
      <c r="W398" s="60"/>
    </row>
    <row r="399" spans="8:23" ht="18" customHeight="1" ns2:dyDescent="0.3">
      <c r="H399" s="60"/>
      <c r="K399" s="26"/>
      <c r="N399" s="26"/>
      <c r="W399" s="60"/>
    </row>
    <row r="400" spans="8:23" ht="18" customHeight="1" ns2:dyDescent="0.3">
      <c r="H400" s="60"/>
      <c r="K400" s="26"/>
      <c r="N400" s="26"/>
      <c r="W400" s="60"/>
    </row>
    <row r="401" spans="8:23" ht="18" customHeight="1" ns2:dyDescent="0.3">
      <c r="H401" s="60"/>
      <c r="K401" s="26"/>
      <c r="N401" s="26"/>
      <c r="W401" s="60"/>
    </row>
    <row r="402" spans="8:23" ht="18" customHeight="1" ns2:dyDescent="0.3">
      <c r="H402" s="60"/>
      <c r="K402" s="26"/>
      <c r="N402" s="26"/>
      <c r="W402" s="60"/>
    </row>
    <row r="403" spans="8:23" ht="18" customHeight="1" ns2:dyDescent="0.3">
      <c r="H403" s="60"/>
      <c r="K403" s="26"/>
      <c r="N403" s="26"/>
      <c r="W403" s="60"/>
    </row>
    <row r="404" spans="8:23" ht="18" customHeight="1" ns2:dyDescent="0.3">
      <c r="H404" s="60"/>
      <c r="K404" s="26"/>
      <c r="N404" s="26"/>
      <c r="W404" s="60"/>
    </row>
    <row r="405" spans="8:23" ht="18" customHeight="1" ns2:dyDescent="0.3">
      <c r="H405" s="60"/>
      <c r="K405" s="26"/>
      <c r="N405" s="26"/>
      <c r="W405" s="60"/>
    </row>
    <row r="406" spans="8:23" ht="18" customHeight="1" ns2:dyDescent="0.3">
      <c r="H406" s="60"/>
      <c r="K406" s="26"/>
      <c r="N406" s="26"/>
      <c r="W406" s="60"/>
    </row>
    <row r="407" spans="8:23" ht="18" customHeight="1" ns2:dyDescent="0.3">
      <c r="H407" s="60"/>
      <c r="K407" s="26"/>
      <c r="N407" s="26"/>
      <c r="W407" s="60"/>
    </row>
    <row r="408" spans="8:23" ht="18" customHeight="1" ns2:dyDescent="0.3">
      <c r="H408" s="60"/>
      <c r="K408" s="26"/>
      <c r="N408" s="26"/>
      <c r="W408" s="60"/>
    </row>
    <row r="409" spans="8:23" ht="18" customHeight="1" ns2:dyDescent="0.3">
      <c r="H409" s="60"/>
      <c r="K409" s="26"/>
      <c r="N409" s="26"/>
      <c r="W409" s="60"/>
    </row>
    <row r="410" spans="8:23" ht="18" customHeight="1" ns2:dyDescent="0.3">
      <c r="H410" s="60"/>
      <c r="K410" s="26"/>
      <c r="N410" s="26"/>
      <c r="W410" s="60"/>
    </row>
    <row r="411" spans="8:23" ht="18" customHeight="1" ns2:dyDescent="0.3">
      <c r="H411" s="60"/>
      <c r="K411" s="26"/>
      <c r="N411" s="26"/>
      <c r="W411" s="60"/>
    </row>
    <row r="412" spans="8:23" ht="18" customHeight="1" ns2:dyDescent="0.3">
      <c r="H412" s="60"/>
      <c r="K412" s="26"/>
      <c r="N412" s="26"/>
      <c r="W412" s="60"/>
    </row>
    <row r="413" spans="8:23" ht="18" customHeight="1" ns2:dyDescent="0.3">
      <c r="H413" s="60"/>
      <c r="K413" s="26"/>
      <c r="N413" s="26"/>
      <c r="W413" s="60"/>
    </row>
    <row r="414" spans="8:23" ht="18" customHeight="1" ns2:dyDescent="0.3">
      <c r="H414" s="60"/>
      <c r="K414" s="26"/>
      <c r="N414" s="26"/>
      <c r="W414" s="60"/>
    </row>
    <row r="415" spans="8:23" ht="18" customHeight="1" ns2:dyDescent="0.3">
      <c r="H415" s="60"/>
      <c r="K415" s="26"/>
      <c r="N415" s="26"/>
      <c r="W415" s="60"/>
    </row>
    <row r="416" spans="8:23" ht="18" customHeight="1" ns2:dyDescent="0.3">
      <c r="H416" s="60"/>
      <c r="K416" s="26"/>
      <c r="N416" s="26"/>
      <c r="W416" s="60"/>
    </row>
    <row r="417" spans="8:23" ht="18" customHeight="1" ns2:dyDescent="0.3">
      <c r="H417" s="60"/>
      <c r="K417" s="26"/>
      <c r="N417" s="26"/>
      <c r="W417" s="60"/>
    </row>
    <row r="418" spans="8:23" ht="18" customHeight="1" ns2:dyDescent="0.3">
      <c r="H418" s="60"/>
      <c r="K418" s="26"/>
      <c r="N418" s="26"/>
      <c r="W418" s="60"/>
    </row>
    <row r="419" spans="8:23" ht="18" customHeight="1" ns2:dyDescent="0.3">
      <c r="H419" s="60"/>
      <c r="K419" s="26"/>
      <c r="N419" s="26"/>
      <c r="W419" s="60"/>
    </row>
    <row r="420" spans="8:23" ht="18" customHeight="1" ns2:dyDescent="0.3">
      <c r="H420" s="60"/>
      <c r="K420" s="26"/>
      <c r="N420" s="26"/>
      <c r="W420" s="60"/>
    </row>
    <row r="421" spans="8:23" ht="18" customHeight="1" ns2:dyDescent="0.3">
      <c r="H421" s="60"/>
      <c r="K421" s="26"/>
      <c r="N421" s="26"/>
      <c r="W421" s="60"/>
    </row>
    <row r="422" spans="8:23" ht="18" customHeight="1" ns2:dyDescent="0.3">
      <c r="H422" s="60"/>
      <c r="K422" s="26"/>
      <c r="N422" s="26"/>
      <c r="W422" s="60"/>
    </row>
    <row r="423" spans="8:23" ht="18" customHeight="1" ns2:dyDescent="0.3">
      <c r="H423" s="60"/>
      <c r="K423" s="26"/>
      <c r="N423" s="26"/>
      <c r="W423" s="60"/>
    </row>
    <row r="424" spans="8:23" ht="18" customHeight="1" ns2:dyDescent="0.3">
      <c r="H424" s="60"/>
      <c r="K424" s="26"/>
      <c r="N424" s="26"/>
      <c r="W424" s="60"/>
    </row>
    <row r="425" spans="8:23" ht="18" customHeight="1" ns2:dyDescent="0.3">
      <c r="H425" s="60"/>
      <c r="K425" s="26"/>
      <c r="N425" s="26"/>
      <c r="W425" s="60"/>
    </row>
    <row r="426" spans="8:23" ht="18" customHeight="1" ns2:dyDescent="0.3">
      <c r="H426" s="60"/>
      <c r="K426" s="26"/>
      <c r="N426" s="26"/>
      <c r="W426" s="60"/>
    </row>
    <row r="427" spans="8:23" ht="18" customHeight="1" ns2:dyDescent="0.3">
      <c r="H427" s="60"/>
      <c r="K427" s="26"/>
      <c r="N427" s="26"/>
      <c r="W427" s="60"/>
    </row>
    <row r="428" spans="8:23" ht="18" customHeight="1" ns2:dyDescent="0.3">
      <c r="H428" s="60"/>
      <c r="K428" s="26"/>
      <c r="N428" s="26"/>
      <c r="W428" s="60"/>
    </row>
    <row r="429" spans="8:23" ht="18" customHeight="1" ns2:dyDescent="0.3">
      <c r="H429" s="60"/>
      <c r="K429" s="26"/>
      <c r="N429" s="26"/>
      <c r="W429" s="60"/>
    </row>
    <row r="430" spans="8:23" ht="18" customHeight="1" ns2:dyDescent="0.3">
      <c r="H430" s="60"/>
      <c r="K430" s="26"/>
      <c r="N430" s="26"/>
      <c r="W430" s="60"/>
    </row>
    <row r="431" spans="8:23" ht="18" customHeight="1" ns2:dyDescent="0.3">
      <c r="H431" s="60"/>
      <c r="K431" s="26"/>
      <c r="N431" s="26"/>
      <c r="W431" s="60"/>
    </row>
    <row r="432" spans="8:23" ht="18" customHeight="1" ns2:dyDescent="0.3">
      <c r="H432" s="60"/>
      <c r="K432" s="26"/>
      <c r="N432" s="26"/>
      <c r="W432" s="60"/>
    </row>
    <row r="433" spans="8:23" ht="18" customHeight="1" ns2:dyDescent="0.3">
      <c r="H433" s="60"/>
      <c r="K433" s="26"/>
      <c r="N433" s="26"/>
      <c r="W433" s="60"/>
    </row>
    <row r="434" spans="8:23" ht="18" customHeight="1" ns2:dyDescent="0.3">
      <c r="H434" s="60"/>
      <c r="K434" s="26"/>
      <c r="N434" s="26"/>
      <c r="W434" s="60"/>
    </row>
    <row r="435" spans="8:23" ht="18" customHeight="1" ns2:dyDescent="0.3">
      <c r="H435" s="60"/>
      <c r="K435" s="26"/>
      <c r="N435" s="26"/>
      <c r="W435" s="60"/>
    </row>
    <row r="436" spans="8:23" ht="18" customHeight="1" ns2:dyDescent="0.3">
      <c r="H436" s="60"/>
      <c r="K436" s="26"/>
      <c r="N436" s="26"/>
      <c r="W436" s="60"/>
    </row>
    <row r="437" spans="8:23" ht="18" customHeight="1" ns2:dyDescent="0.3">
      <c r="H437" s="60"/>
      <c r="K437" s="26"/>
      <c r="N437" s="26"/>
      <c r="W437" s="60"/>
    </row>
    <row r="438" spans="8:23" ht="18" customHeight="1" ns2:dyDescent="0.3">
      <c r="H438" s="60"/>
      <c r="K438" s="26"/>
      <c r="N438" s="26"/>
      <c r="W438" s="60"/>
    </row>
    <row r="439" spans="8:23" ht="18" customHeight="1" ns2:dyDescent="0.3">
      <c r="H439" s="60"/>
      <c r="K439" s="26"/>
      <c r="N439" s="26"/>
      <c r="W439" s="60"/>
    </row>
    <row r="440" spans="8:23" ht="18" customHeight="1" ns2:dyDescent="0.3">
      <c r="H440" s="60"/>
      <c r="K440" s="26"/>
      <c r="N440" s="26"/>
      <c r="W440" s="60"/>
    </row>
    <row r="441" spans="8:23" ht="18" customHeight="1" ns2:dyDescent="0.3">
      <c r="H441" s="60"/>
      <c r="K441" s="26"/>
      <c r="N441" s="26"/>
      <c r="W441" s="60"/>
    </row>
    <row r="442" spans="8:23" ht="18" customHeight="1" ns2:dyDescent="0.3">
      <c r="H442" s="60"/>
      <c r="K442" s="26"/>
      <c r="N442" s="26"/>
      <c r="W442" s="60"/>
    </row>
    <row r="443" spans="8:23" ht="18" customHeight="1" ns2:dyDescent="0.3">
      <c r="H443" s="60"/>
      <c r="K443" s="26"/>
      <c r="N443" s="26"/>
      <c r="W443" s="60"/>
    </row>
    <row r="444" spans="8:23" ht="18" customHeight="1" ns2:dyDescent="0.3">
      <c r="H444" s="60"/>
      <c r="K444" s="26"/>
      <c r="N444" s="26"/>
      <c r="W444" s="60"/>
    </row>
    <row r="445" spans="8:23" ht="18" customHeight="1" ns2:dyDescent="0.3">
      <c r="H445" s="60"/>
      <c r="K445" s="26"/>
      <c r="N445" s="26"/>
      <c r="W445" s="60"/>
    </row>
    <row r="446" spans="8:23" ht="18" customHeight="1" ns2:dyDescent="0.3">
      <c r="H446" s="60"/>
      <c r="K446" s="26"/>
      <c r="N446" s="26"/>
      <c r="W446" s="60"/>
    </row>
    <row r="447" spans="8:23" ht="18" customHeight="1" ns2:dyDescent="0.3">
      <c r="H447" s="60"/>
      <c r="K447" s="26"/>
      <c r="N447" s="26"/>
      <c r="W447" s="60"/>
    </row>
    <row r="448" spans="8:23" ht="18" customHeight="1" ns2:dyDescent="0.3">
      <c r="H448" s="60"/>
      <c r="K448" s="26"/>
      <c r="N448" s="26"/>
      <c r="W448" s="60"/>
    </row>
    <row r="449" spans="8:23" ht="18" customHeight="1" ns2:dyDescent="0.3">
      <c r="H449" s="60"/>
      <c r="K449" s="26"/>
      <c r="N449" s="26"/>
      <c r="W449" s="60"/>
    </row>
    <row r="450" spans="8:23" ht="18" customHeight="1" ns2:dyDescent="0.3">
      <c r="H450" s="60"/>
      <c r="K450" s="26"/>
      <c r="N450" s="26"/>
      <c r="W450" s="60"/>
    </row>
    <row r="451" spans="8:23" ht="18" customHeight="1" ns2:dyDescent="0.3">
      <c r="H451" s="60"/>
      <c r="K451" s="26"/>
      <c r="N451" s="26"/>
      <c r="W451" s="60"/>
    </row>
    <row r="452" spans="8:23" ht="18" customHeight="1" ns2:dyDescent="0.3">
      <c r="H452" s="60"/>
      <c r="K452" s="26"/>
      <c r="N452" s="26"/>
      <c r="W452" s="60"/>
    </row>
    <row r="453" spans="8:23" ht="18" customHeight="1" ns2:dyDescent="0.3">
      <c r="H453" s="60"/>
      <c r="K453" s="26"/>
      <c r="N453" s="26"/>
      <c r="W453" s="60"/>
    </row>
    <row r="454" spans="8:23" ht="18" customHeight="1" ns2:dyDescent="0.3">
      <c r="H454" s="60"/>
      <c r="K454" s="26"/>
      <c r="N454" s="26"/>
      <c r="W454" s="60"/>
    </row>
    <row r="455" spans="8:23" ht="18" customHeight="1" ns2:dyDescent="0.3">
      <c r="H455" s="60"/>
      <c r="K455" s="26"/>
      <c r="N455" s="26"/>
      <c r="W455" s="60"/>
    </row>
    <row r="456" spans="8:23" ht="18" customHeight="1" ns2:dyDescent="0.3">
      <c r="H456" s="60"/>
      <c r="K456" s="26"/>
      <c r="N456" s="26"/>
      <c r="W456" s="60"/>
    </row>
    <row r="457" spans="8:23" ht="18" customHeight="1" ns2:dyDescent="0.3">
      <c r="H457" s="60"/>
      <c r="K457" s="26"/>
      <c r="N457" s="26"/>
      <c r="W457" s="60"/>
    </row>
    <row r="458" spans="8:23" ht="18" customHeight="1" ns2:dyDescent="0.3">
      <c r="H458" s="60"/>
      <c r="K458" s="26"/>
      <c r="N458" s="26"/>
      <c r="W458" s="60"/>
    </row>
    <row r="459" spans="8:23" ht="18" customHeight="1" ns2:dyDescent="0.3">
      <c r="H459" s="60"/>
      <c r="K459" s="26"/>
      <c r="N459" s="26"/>
      <c r="W459" s="60"/>
    </row>
    <row r="460" spans="8:23" ht="18" customHeight="1" ns2:dyDescent="0.3">
      <c r="H460" s="60"/>
      <c r="K460" s="26"/>
      <c r="N460" s="26"/>
      <c r="W460" s="60"/>
    </row>
    <row r="461" spans="8:23" ht="18" customHeight="1" ns2:dyDescent="0.3">
      <c r="H461" s="60"/>
      <c r="K461" s="26"/>
      <c r="N461" s="26"/>
      <c r="W461" s="60"/>
    </row>
    <row r="462" spans="8:23" ht="18" customHeight="1" ns2:dyDescent="0.3">
      <c r="H462" s="60"/>
      <c r="K462" s="26"/>
      <c r="N462" s="26"/>
      <c r="W462" s="60"/>
    </row>
    <row r="463" spans="8:23" ht="18" customHeight="1" ns2:dyDescent="0.3">
      <c r="H463" s="60"/>
      <c r="K463" s="26"/>
      <c r="N463" s="26"/>
      <c r="W463" s="60"/>
    </row>
    <row r="464" spans="8:23" ht="18" customHeight="1" ns2:dyDescent="0.3">
      <c r="H464" s="60"/>
      <c r="K464" s="26"/>
      <c r="N464" s="26"/>
      <c r="W464" s="60"/>
    </row>
    <row r="465" spans="8:23" ht="18" customHeight="1" ns2:dyDescent="0.3">
      <c r="H465" s="60"/>
      <c r="K465" s="26"/>
      <c r="N465" s="26"/>
      <c r="W465" s="60"/>
    </row>
    <row r="466" spans="8:23" ht="18" customHeight="1" ns2:dyDescent="0.3">
      <c r="H466" s="60"/>
      <c r="K466" s="26"/>
      <c r="N466" s="26"/>
      <c r="W466" s="60"/>
    </row>
    <row r="467" spans="8:23" ht="18" customHeight="1" ns2:dyDescent="0.3">
      <c r="H467" s="60"/>
      <c r="K467" s="26"/>
      <c r="N467" s="26"/>
      <c r="W467" s="60"/>
    </row>
    <row r="468" spans="8:23" ht="18" customHeight="1" ns2:dyDescent="0.3">
      <c r="H468" s="60"/>
      <c r="K468" s="26"/>
      <c r="N468" s="26"/>
      <c r="W468" s="60"/>
    </row>
    <row r="469" spans="8:23" ht="18" customHeight="1" ns2:dyDescent="0.3">
      <c r="H469" s="60"/>
      <c r="K469" s="26"/>
      <c r="N469" s="26"/>
      <c r="W469" s="60"/>
    </row>
    <row r="470" spans="8:23" ht="18" customHeight="1" ns2:dyDescent="0.3">
      <c r="H470" s="60"/>
      <c r="K470" s="26"/>
      <c r="N470" s="26"/>
      <c r="W470" s="60"/>
    </row>
    <row r="471" spans="8:23" ht="18" customHeight="1" ns2:dyDescent="0.3">
      <c r="H471" s="60"/>
      <c r="K471" s="26"/>
      <c r="N471" s="26"/>
      <c r="W471" s="60"/>
    </row>
    <row r="472" spans="8:23" ht="18" customHeight="1" ns2:dyDescent="0.3">
      <c r="H472" s="60"/>
      <c r="K472" s="26"/>
      <c r="N472" s="26"/>
      <c r="W472" s="60"/>
    </row>
    <row r="473" spans="8:23" ht="18" customHeight="1" ns2:dyDescent="0.3">
      <c r="H473" s="60"/>
      <c r="K473" s="26"/>
      <c r="N473" s="26"/>
      <c r="W473" s="60"/>
    </row>
    <row r="474" spans="8:23" ht="18" customHeight="1" ns2:dyDescent="0.3">
      <c r="H474" s="60"/>
      <c r="K474" s="26"/>
      <c r="N474" s="26"/>
      <c r="W474" s="60"/>
    </row>
    <row r="475" spans="8:23" ht="18" customHeight="1" ns2:dyDescent="0.3">
      <c r="H475" s="60"/>
      <c r="K475" s="26"/>
      <c r="N475" s="26"/>
      <c r="W475" s="60"/>
    </row>
    <row r="476" spans="8:23" ht="18" customHeight="1" ns2:dyDescent="0.3">
      <c r="H476" s="60"/>
      <c r="K476" s="26"/>
      <c r="N476" s="26"/>
      <c r="W476" s="60"/>
    </row>
    <row r="477" spans="8:23" ht="18" customHeight="1" ns2:dyDescent="0.3">
      <c r="H477" s="60"/>
      <c r="K477" s="26"/>
      <c r="N477" s="26"/>
      <c r="W477" s="60"/>
    </row>
    <row r="478" spans="8:23" ht="18" customHeight="1" ns2:dyDescent="0.3">
      <c r="H478" s="60"/>
      <c r="K478" s="26"/>
      <c r="N478" s="26"/>
      <c r="W478" s="60"/>
    </row>
    <row r="479" spans="8:23" ht="18" customHeight="1" ns2:dyDescent="0.3">
      <c r="H479" s="60"/>
      <c r="K479" s="26"/>
      <c r="N479" s="26"/>
      <c r="W479" s="60"/>
    </row>
    <row r="480" spans="8:23" ht="18" customHeight="1" ns2:dyDescent="0.3">
      <c r="H480" s="60"/>
      <c r="K480" s="26"/>
      <c r="N480" s="26"/>
      <c r="W480" s="60"/>
    </row>
    <row r="481" spans="8:23" ht="18" customHeight="1" ns2:dyDescent="0.3">
      <c r="H481" s="60"/>
      <c r="K481" s="26"/>
      <c r="N481" s="26"/>
      <c r="W481" s="60"/>
    </row>
    <row r="482" spans="8:23" ht="18" customHeight="1" ns2:dyDescent="0.3">
      <c r="H482" s="60"/>
      <c r="K482" s="26"/>
      <c r="N482" s="26"/>
      <c r="W482" s="60"/>
    </row>
    <row r="483" spans="8:23" ht="18" customHeight="1" ns2:dyDescent="0.3">
      <c r="H483" s="60"/>
      <c r="K483" s="26"/>
      <c r="N483" s="26"/>
      <c r="W483" s="60"/>
    </row>
    <row r="484" spans="8:23" ht="18" customHeight="1" ns2:dyDescent="0.3">
      <c r="H484" s="60"/>
      <c r="K484" s="26"/>
      <c r="N484" s="26"/>
      <c r="W484" s="60"/>
    </row>
    <row r="485" spans="8:23" ht="18" customHeight="1" ns2:dyDescent="0.3">
      <c r="H485" s="60"/>
      <c r="K485" s="26"/>
      <c r="N485" s="26"/>
      <c r="W485" s="60"/>
    </row>
    <row r="486" spans="8:23" ht="18" customHeight="1" ns2:dyDescent="0.3">
      <c r="H486" s="60"/>
      <c r="K486" s="26"/>
      <c r="N486" s="26"/>
      <c r="W486" s="60"/>
    </row>
    <row r="487" spans="8:23" ht="18" customHeight="1" ns2:dyDescent="0.3">
      <c r="H487" s="60"/>
      <c r="K487" s="26"/>
      <c r="N487" s="26"/>
      <c r="W487" s="60"/>
    </row>
    <row r="488" spans="8:23" ht="18" customHeight="1" ns2:dyDescent="0.3">
      <c r="H488" s="60"/>
      <c r="K488" s="26"/>
      <c r="N488" s="26"/>
      <c r="W488" s="60"/>
    </row>
    <row r="489" spans="8:23" ht="18" customHeight="1" ns2:dyDescent="0.3">
      <c r="H489" s="60"/>
      <c r="K489" s="26"/>
      <c r="N489" s="26"/>
      <c r="W489" s="60"/>
    </row>
    <row r="490" spans="8:23" ht="18" customHeight="1" ns2:dyDescent="0.3">
      <c r="H490" s="60"/>
      <c r="K490" s="26"/>
      <c r="N490" s="26"/>
      <c r="W490" s="60"/>
    </row>
    <row r="491" spans="8:23" ht="18" customHeight="1" ns2:dyDescent="0.3">
      <c r="H491" s="60"/>
      <c r="K491" s="26"/>
      <c r="N491" s="26"/>
      <c r="W491" s="60"/>
    </row>
    <row r="492" spans="8:23" ht="18" customHeight="1" ns2:dyDescent="0.3">
      <c r="H492" s="60"/>
      <c r="K492" s="26"/>
      <c r="N492" s="26"/>
      <c r="W492" s="60"/>
    </row>
    <row r="493" spans="8:23" ht="18" customHeight="1" ns2:dyDescent="0.3">
      <c r="H493" s="60"/>
      <c r="K493" s="26"/>
      <c r="N493" s="26"/>
      <c r="W493" s="60"/>
    </row>
    <row r="494" spans="8:23" ht="18" customHeight="1" ns2:dyDescent="0.3">
      <c r="H494" s="60"/>
      <c r="K494" s="26"/>
      <c r="N494" s="26"/>
      <c r="W494" s="60"/>
    </row>
    <row r="495" spans="8:23" ht="18" customHeight="1" ns2:dyDescent="0.3">
      <c r="H495" s="60"/>
      <c r="K495" s="26"/>
      <c r="N495" s="26"/>
      <c r="W495" s="60"/>
    </row>
    <row r="496" spans="8:23" ht="18" customHeight="1" ns2:dyDescent="0.3">
      <c r="H496" s="60"/>
      <c r="K496" s="26"/>
      <c r="N496" s="26"/>
      <c r="W496" s="60"/>
    </row>
    <row r="497" spans="8:23" ht="18" customHeight="1" ns2:dyDescent="0.3">
      <c r="H497" s="60"/>
      <c r="K497" s="26"/>
      <c r="N497" s="26"/>
      <c r="W497" s="60"/>
    </row>
    <row r="498" spans="8:23" ht="18" customHeight="1" ns2:dyDescent="0.3">
      <c r="H498" s="60"/>
      <c r="K498" s="26"/>
      <c r="N498" s="26"/>
      <c r="W498" s="60"/>
    </row>
    <row r="499" spans="8:23" ht="18" customHeight="1" ns2:dyDescent="0.3">
      <c r="H499" s="60"/>
      <c r="K499" s="26"/>
      <c r="N499" s="26"/>
      <c r="W499" s="60"/>
    </row>
    <row r="500" spans="8:23" ht="18" customHeight="1" ns2:dyDescent="0.3">
      <c r="H500" s="60"/>
      <c r="K500" s="26"/>
      <c r="N500" s="26"/>
      <c r="W500" s="60"/>
    </row>
    <row r="501" spans="8:23" ht="18" customHeight="1" ns2:dyDescent="0.3">
      <c r="H501" s="60"/>
      <c r="K501" s="26"/>
      <c r="N501" s="26"/>
      <c r="W501" s="60"/>
    </row>
    <row r="502" spans="8:23" ht="18" customHeight="1" ns2:dyDescent="0.3">
      <c r="H502" s="60"/>
      <c r="K502" s="26"/>
      <c r="N502" s="26"/>
      <c r="W502" s="60"/>
    </row>
    <row r="503" spans="8:23" ht="18" customHeight="1" ns2:dyDescent="0.3">
      <c r="H503" s="60"/>
      <c r="K503" s="26"/>
      <c r="N503" s="26"/>
      <c r="W503" s="60"/>
    </row>
    <row r="504" spans="8:23" ht="18" customHeight="1" ns2:dyDescent="0.3">
      <c r="H504" s="60"/>
      <c r="K504" s="26"/>
      <c r="N504" s="26"/>
      <c r="W504" s="60"/>
    </row>
    <row r="505" spans="8:23" ht="18" customHeight="1" ns2:dyDescent="0.3">
      <c r="H505" s="60"/>
      <c r="K505" s="26"/>
      <c r="N505" s="26"/>
      <c r="W505" s="60"/>
    </row>
    <row r="506" spans="8:23" ht="18" customHeight="1" ns2:dyDescent="0.3">
      <c r="H506" s="60"/>
      <c r="K506" s="26"/>
      <c r="N506" s="26"/>
      <c r="W506" s="60"/>
    </row>
    <row r="507" spans="8:23" ht="18" customHeight="1" ns2:dyDescent="0.3">
      <c r="H507" s="60"/>
      <c r="K507" s="26"/>
      <c r="N507" s="26"/>
      <c r="W507" s="60"/>
    </row>
    <row r="508" spans="8:23" ht="18" customHeight="1" ns2:dyDescent="0.3">
      <c r="H508" s="60"/>
      <c r="K508" s="26"/>
      <c r="N508" s="26"/>
      <c r="W508" s="60"/>
    </row>
    <row r="509" spans="8:23" ht="18" customHeight="1" ns2:dyDescent="0.3">
      <c r="H509" s="60"/>
      <c r="K509" s="26"/>
      <c r="N509" s="26"/>
      <c r="W509" s="60"/>
    </row>
    <row r="510" spans="8:23" ht="18" customHeight="1" ns2:dyDescent="0.3">
      <c r="H510" s="60"/>
      <c r="K510" s="26"/>
      <c r="N510" s="26"/>
      <c r="W510" s="60"/>
    </row>
    <row r="511" spans="8:23" ht="18" customHeight="1" ns2:dyDescent="0.3">
      <c r="H511" s="60"/>
      <c r="K511" s="26"/>
      <c r="N511" s="26"/>
      <c r="W511" s="60"/>
    </row>
    <row r="512" spans="8:23" ht="18" customHeight="1" ns2:dyDescent="0.3">
      <c r="H512" s="60"/>
      <c r="K512" s="26"/>
      <c r="N512" s="26"/>
      <c r="W512" s="60"/>
    </row>
    <row r="513" spans="8:23" ht="18" customHeight="1" ns2:dyDescent="0.3">
      <c r="H513" s="60"/>
      <c r="K513" s="26"/>
      <c r="N513" s="26"/>
      <c r="W513" s="60"/>
    </row>
    <row r="514" spans="8:23" ht="18" customHeight="1" ns2:dyDescent="0.3">
      <c r="H514" s="60"/>
      <c r="K514" s="26"/>
      <c r="N514" s="26"/>
      <c r="W514" s="60"/>
    </row>
    <row r="515" spans="8:23" ht="18" customHeight="1" ns2:dyDescent="0.3">
      <c r="H515" s="60"/>
      <c r="K515" s="26"/>
      <c r="N515" s="26"/>
      <c r="W515" s="60"/>
    </row>
    <row r="516" spans="8:23" ht="18" customHeight="1" ns2:dyDescent="0.3">
      <c r="H516" s="60"/>
      <c r="K516" s="26"/>
      <c r="N516" s="26"/>
      <c r="W516" s="60"/>
    </row>
    <row r="517" spans="8:23" ht="18" customHeight="1" ns2:dyDescent="0.3">
      <c r="H517" s="60"/>
      <c r="K517" s="26"/>
      <c r="N517" s="26"/>
      <c r="W517" s="60"/>
    </row>
    <row r="518" spans="8:23" ht="18" customHeight="1" ns2:dyDescent="0.3">
      <c r="H518" s="60"/>
      <c r="K518" s="26"/>
      <c r="N518" s="26"/>
      <c r="W518" s="60"/>
    </row>
    <row r="519" spans="8:23" ht="18" customHeight="1" ns2:dyDescent="0.3">
      <c r="H519" s="60"/>
      <c r="K519" s="26"/>
      <c r="N519" s="26"/>
      <c r="W519" s="60"/>
    </row>
    <row r="520" spans="8:23" ht="18" customHeight="1" ns2:dyDescent="0.3">
      <c r="H520" s="60"/>
      <c r="K520" s="26"/>
      <c r="N520" s="26"/>
      <c r="W520" s="60"/>
    </row>
    <row r="521" spans="8:23" ht="18" customHeight="1" ns2:dyDescent="0.3">
      <c r="H521" s="60"/>
      <c r="K521" s="26"/>
      <c r="N521" s="26"/>
      <c r="W521" s="60"/>
    </row>
    <row r="522" spans="8:23" ht="18" customHeight="1" ns2:dyDescent="0.3">
      <c r="H522" s="60"/>
      <c r="K522" s="26"/>
      <c r="N522" s="26"/>
      <c r="W522" s="60"/>
    </row>
    <row r="523" spans="8:23" ht="18" customHeight="1" ns2:dyDescent="0.3">
      <c r="H523" s="60"/>
      <c r="K523" s="26"/>
      <c r="N523" s="26"/>
      <c r="W523" s="60"/>
    </row>
    <row r="524" spans="8:23" ht="18" customHeight="1" ns2:dyDescent="0.3">
      <c r="H524" s="60"/>
      <c r="K524" s="26"/>
      <c r="N524" s="26"/>
      <c r="W524" s="60"/>
    </row>
    <row r="525" spans="8:23" ht="18" customHeight="1" ns2:dyDescent="0.3">
      <c r="H525" s="60"/>
      <c r="K525" s="26"/>
      <c r="N525" s="26"/>
      <c r="W525" s="60"/>
    </row>
    <row r="526" spans="8:23" ht="18" customHeight="1" ns2:dyDescent="0.3">
      <c r="H526" s="60"/>
      <c r="K526" s="26"/>
      <c r="N526" s="26"/>
      <c r="W526" s="60"/>
    </row>
    <row r="527" spans="8:23" ht="18" customHeight="1" ns2:dyDescent="0.3">
      <c r="H527" s="60"/>
      <c r="K527" s="26"/>
      <c r="N527" s="26"/>
      <c r="W527" s="60"/>
    </row>
    <row r="528" spans="8:23" ht="18" customHeight="1" ns2:dyDescent="0.3">
      <c r="H528" s="60"/>
      <c r="K528" s="26"/>
      <c r="N528" s="26"/>
      <c r="W528" s="60"/>
    </row>
    <row r="529" spans="8:23" ht="18" customHeight="1" ns2:dyDescent="0.3">
      <c r="H529" s="60"/>
      <c r="K529" s="26"/>
      <c r="N529" s="26"/>
      <c r="W529" s="60"/>
    </row>
    <row r="530" spans="8:23" ht="18" customHeight="1" ns2:dyDescent="0.3">
      <c r="H530" s="60"/>
      <c r="K530" s="26"/>
      <c r="N530" s="26"/>
      <c r="W530" s="60"/>
    </row>
    <row r="531" spans="8:23" ht="18" customHeight="1" ns2:dyDescent="0.3">
      <c r="H531" s="60"/>
      <c r="K531" s="26"/>
      <c r="N531" s="26"/>
      <c r="W531" s="60"/>
    </row>
    <row r="532" spans="8:23" ht="18" customHeight="1" ns2:dyDescent="0.3">
      <c r="H532" s="60"/>
      <c r="K532" s="26"/>
      <c r="N532" s="26"/>
      <c r="W532" s="60"/>
    </row>
    <row r="533" spans="8:23" ht="18" customHeight="1" ns2:dyDescent="0.3">
      <c r="H533" s="60"/>
      <c r="K533" s="26"/>
      <c r="N533" s="26"/>
      <c r="W533" s="60"/>
    </row>
    <row r="534" spans="8:23" ht="18" customHeight="1" ns2:dyDescent="0.3">
      <c r="H534" s="60"/>
      <c r="K534" s="26"/>
      <c r="N534" s="26"/>
      <c r="W534" s="60"/>
    </row>
    <row r="535" spans="8:23" ht="18" customHeight="1" ns2:dyDescent="0.3">
      <c r="H535" s="60"/>
      <c r="K535" s="26"/>
      <c r="N535" s="26"/>
      <c r="W535" s="60"/>
    </row>
    <row r="536" spans="8:23" ht="18" customHeight="1" ns2:dyDescent="0.3">
      <c r="H536" s="60"/>
      <c r="K536" s="26"/>
      <c r="N536" s="26"/>
      <c r="W536" s="60"/>
    </row>
    <row r="537" spans="8:23" ht="18" customHeight="1" ns2:dyDescent="0.3">
      <c r="H537" s="60"/>
      <c r="K537" s="26"/>
      <c r="N537" s="26"/>
      <c r="W537" s="60"/>
    </row>
    <row r="538" spans="8:23" ht="18" customHeight="1" ns2:dyDescent="0.3">
      <c r="H538" s="60"/>
      <c r="K538" s="26"/>
      <c r="N538" s="26"/>
      <c r="W538" s="60"/>
    </row>
    <row r="539" spans="8:23" ht="18" customHeight="1" ns2:dyDescent="0.3">
      <c r="H539" s="60"/>
      <c r="K539" s="26"/>
      <c r="N539" s="26"/>
      <c r="W539" s="60"/>
    </row>
    <row r="540" spans="8:23" ht="18" customHeight="1" ns2:dyDescent="0.3">
      <c r="H540" s="60"/>
      <c r="K540" s="26"/>
      <c r="N540" s="26"/>
      <c r="W540" s="60"/>
    </row>
    <row r="541" spans="8:23" ht="18" customHeight="1" ns2:dyDescent="0.3">
      <c r="H541" s="60"/>
      <c r="K541" s="26"/>
      <c r="N541" s="26"/>
      <c r="W541" s="60"/>
    </row>
    <row r="542" spans="8:23" ht="18" customHeight="1" ns2:dyDescent="0.3">
      <c r="H542" s="60"/>
      <c r="K542" s="26"/>
      <c r="N542" s="26"/>
      <c r="W542" s="60"/>
    </row>
    <row r="543" spans="8:23" ht="18" customHeight="1" ns2:dyDescent="0.3">
      <c r="H543" s="60"/>
      <c r="K543" s="26"/>
      <c r="N543" s="26"/>
      <c r="W543" s="60"/>
    </row>
    <row r="544" spans="8:23" ht="18" customHeight="1" ns2:dyDescent="0.3">
      <c r="H544" s="60"/>
      <c r="K544" s="26"/>
      <c r="N544" s="26"/>
      <c r="W544" s="60"/>
    </row>
    <row r="545" spans="8:23" ht="18" customHeight="1" ns2:dyDescent="0.3">
      <c r="H545" s="60"/>
      <c r="K545" s="26"/>
      <c r="N545" s="26"/>
      <c r="W545" s="60"/>
    </row>
    <row r="546" spans="8:23" ht="18" customHeight="1" ns2:dyDescent="0.3">
      <c r="H546" s="60"/>
      <c r="K546" s="26"/>
      <c r="N546" s="26"/>
      <c r="W546" s="60"/>
    </row>
    <row r="547" spans="8:23" ht="18" customHeight="1" ns2:dyDescent="0.3">
      <c r="H547" s="60"/>
      <c r="K547" s="26"/>
      <c r="N547" s="26"/>
      <c r="W547" s="60"/>
    </row>
    <row r="548" spans="8:23" ht="18" customHeight="1" ns2:dyDescent="0.3">
      <c r="H548" s="60"/>
      <c r="K548" s="26"/>
      <c r="N548" s="26"/>
      <c r="W548" s="60"/>
    </row>
    <row r="549" spans="8:23" ht="18" customHeight="1" ns2:dyDescent="0.3">
      <c r="H549" s="60"/>
      <c r="K549" s="26"/>
      <c r="N549" s="26"/>
      <c r="W549" s="60"/>
    </row>
    <row r="550" spans="8:23" ht="18" customHeight="1" ns2:dyDescent="0.3">
      <c r="H550" s="60"/>
      <c r="K550" s="26"/>
      <c r="N550" s="26"/>
      <c r="W550" s="60"/>
    </row>
    <row r="551" spans="8:23" ht="18" customHeight="1" ns2:dyDescent="0.3">
      <c r="H551" s="60"/>
      <c r="K551" s="26"/>
      <c r="N551" s="26"/>
      <c r="W551" s="60"/>
    </row>
    <row r="552" spans="8:23" ht="18" customHeight="1" ns2:dyDescent="0.3">
      <c r="H552" s="60"/>
      <c r="K552" s="26"/>
      <c r="N552" s="26"/>
      <c r="W552" s="60"/>
    </row>
    <row r="553" spans="8:23" ht="18" customHeight="1" ns2:dyDescent="0.3">
      <c r="H553" s="60"/>
      <c r="K553" s="26"/>
      <c r="N553" s="26"/>
      <c r="W553" s="60"/>
    </row>
    <row r="554" spans="8:23" ht="18" customHeight="1" ns2:dyDescent="0.3">
      <c r="H554" s="60"/>
      <c r="K554" s="26"/>
      <c r="N554" s="26"/>
      <c r="W554" s="60"/>
    </row>
    <row r="555" spans="8:23" ht="18" customHeight="1" ns2:dyDescent="0.3">
      <c r="H555" s="60"/>
      <c r="K555" s="26"/>
      <c r="N555" s="26"/>
      <c r="W555" s="60"/>
    </row>
    <row r="556" spans="8:23" ht="18" customHeight="1" ns2:dyDescent="0.3">
      <c r="H556" s="60"/>
      <c r="K556" s="26"/>
      <c r="N556" s="26"/>
      <c r="W556" s="60"/>
    </row>
    <row r="557" spans="8:23" ht="18" customHeight="1" ns2:dyDescent="0.3">
      <c r="H557" s="60"/>
      <c r="K557" s="26"/>
      <c r="N557" s="26"/>
      <c r="W557" s="60"/>
    </row>
    <row r="558" spans="8:23" ht="18" customHeight="1" ns2:dyDescent="0.3">
      <c r="H558" s="60"/>
      <c r="K558" s="26"/>
      <c r="N558" s="26"/>
      <c r="W558" s="60"/>
    </row>
    <row r="559" spans="8:23" ht="18" customHeight="1" ns2:dyDescent="0.3">
      <c r="H559" s="60"/>
      <c r="K559" s="26"/>
      <c r="N559" s="26"/>
      <c r="W559" s="60"/>
    </row>
    <row r="560" spans="8:23" ht="18" customHeight="1" ns2:dyDescent="0.3">
      <c r="H560" s="60"/>
      <c r="K560" s="26"/>
      <c r="N560" s="26"/>
      <c r="W560" s="60"/>
    </row>
    <row r="561" spans="8:23" ht="18" customHeight="1" ns2:dyDescent="0.3">
      <c r="H561" s="60"/>
      <c r="K561" s="26"/>
      <c r="N561" s="26"/>
      <c r="W561" s="60"/>
    </row>
    <row r="562" spans="8:23" ht="18" customHeight="1" ns2:dyDescent="0.3">
      <c r="K562" s="26"/>
      <c r="N562" s="26"/>
      <c r="W562" s="60"/>
    </row>
    <row r="563" spans="8:23" ht="18" customHeight="1" ns2:dyDescent="0.3">
      <c r="K563" s="26"/>
      <c r="N563" s="26"/>
      <c r="W563" s="60"/>
    </row>
    <row r="564" spans="8:23" ht="18" customHeight="1" ns2:dyDescent="0.3">
      <c r="W564" s="60"/>
    </row>
    <row r="565" spans="8:23" ht="18" customHeight="1" ns2:dyDescent="0.3">
      <c r="W565" s="60"/>
    </row>
    <row r="566" spans="8:23" ht="18" customHeight="1" ns2:dyDescent="0.3">
      <c r="W566" s="60"/>
    </row>
    <row r="567" spans="8:23" ht="18" customHeight="1" ns2:dyDescent="0.3">
      <c r="W567" s="60"/>
    </row>
    <row r="568" spans="8:23" ht="18" customHeight="1" ns2:dyDescent="0.3">
      <c r="W568" s="60"/>
    </row>
    <row r="569" spans="8:23" ht="18" customHeight="1" ns2:dyDescent="0.3">
      <c r="W569" s="60"/>
    </row>
    <row r="570" spans="8:23" ht="18" customHeight="1" ns2:dyDescent="0.3">
      <c r="W570" s="60"/>
    </row>
    <row r="571" spans="8:23" ht="18" customHeight="1" ns2:dyDescent="0.3">
      <c r="W571" s="60"/>
    </row>
    <row r="572" spans="8:23" ht="18" customHeight="1" ns2:dyDescent="0.3">
      <c r="W572" s="60"/>
    </row>
    <row r="573" spans="8:23" ht="18" customHeight="1" ns2:dyDescent="0.3">
      <c r="W573" s="60"/>
    </row>
  </sheetData>
  <sheetProtection insertRows="0" deleteRows="0" autoFilter="0" pivotTables="0"/>
  <customSheetViews>
    <customSheetView guid="{9B185263-2BD9-4D2A-A382-CDCDF12F5EF0}" scale="85" showPageBreaks="1" view="pageBreakPreview">
      <selection activeCell="B6" sqref="B6"/>
    </customSheetView>
  </customSheetViews>
  <mergeCells count="21">
    <mergeCell ref="H1:V1"/>
    <mergeCell ref="O2:O3"/>
    <mergeCell ref="L2:L3"/>
    <mergeCell ref="J2:J3"/>
    <mergeCell ref="I2:I3"/>
    <mergeCell ref="N2:N3"/>
    <mergeCell ref="M2:M3"/>
    <mergeCell ref="A2:A3"/>
    <mergeCell ref="C2:C3"/>
    <mergeCell ref="H2:H3"/>
    <mergeCell ref="K2:K3"/>
    <mergeCell ref="B2:B3"/>
    <mergeCell ref="E2:G2"/>
    <mergeCell ref="D2:D3"/>
    <mergeCell ref="Y2:Y3"/>
    <mergeCell ref="X2:X3"/>
    <mergeCell ref="W2:W3"/>
    <mergeCell ref="P2:P3"/>
    <mergeCell ref="V2:V3"/>
    <mergeCell ref="Q2:S2"/>
    <mergeCell ref="T2:U2"/>
  </mergeCells>
  <dataValidations count="7">
    <dataValidation type="decimal" errorStyle="warning" allowBlank="1" showInputMessage="1" showErrorMessage="1" errorTitle="تنبيه:" error="الرجاء اختيار شهر صحيح بين 1-12" sqref="R48:R193 R28:R29 F28:F29 F48:F193">
      <formula1>1</formula1>
      <formula2>12</formula2>
    </dataValidation>
    <dataValidation type="decimal" errorStyle="warning" allowBlank="1" showInputMessage="1" showErrorMessage="1" errorTitle="تنبيه" error="الرجاء اختيار يوم صحيح بين 1-31" sqref="Q48:Q193 Q28:Q29 E28:E29 E48:E193">
      <formula1>1</formula1>
      <formula2>31</formula2>
    </dataValidation>
    <dataValidation errorStyle="warning" allowBlank="1" showInputMessage="1" showErrorMessage="1" sqref="G1"/>
    <dataValidation errorStyle="warning" allowBlank="1" showInputMessage="1" showErrorMessage="1" promptTitle="تنبيه" prompt="الرجاء اختيار عام صحيح مثال: 1994" sqref="E2:G3 G28:G29 G48:G1048576"/>
    <dataValidation type="decimal" allowBlank="1" showInputMessage="1" showErrorMessage="1" sqref="L48:L182">
      <formula1>0</formula1>
      <formula2>99</formula2>
    </dataValidation>
    <dataValidation type="decimal" errorStyle="warning" allowBlank="1" showInputMessage="1" showErrorMessage="1" errorTitle="تنبيه:" error="الرجاء اختيار عام صحيح مثال: 1994" sqref="S28:S29 S48:S193">
      <formula1>1900</formula1>
      <formula2>2200</formula2>
    </dataValidation>
    <dataValidation type="decimal" allowBlank="1" showInputMessage="1" showErrorMessage="1" errorTitle="تنبيه:" error="الرجاء اختيار رقم موبايل صحيح مكون من عشرة ارقام." sqref="T28:T29 T48:T193">
      <formula1>900000000</formula1>
      <formula2>999999999</formula2>
    </dataValidation>
  </dataValidations>
  <printOptions horizontalCentered="1" verticalCentered="1"/>
  <pageMargins left="0.196850393700787" right="0.196850393700787" top="0" bottom="1.0629921259842501" header="0" footer="0.511811023622047"/>
  <headerFooter scaleWithDoc="0" alignWithMargins="0">
    <oddHeader>&amp;C&amp;G</oddHeader>
    <oddFooter>&amp;C&amp;P-&amp;N</oddFooter>
  </headerFooter>
  <extLst>
    <ext uri="{CCE6A557-97BC-4b89-ADB6-D9C93CAAB3DF}">
      <ns4:dataValidations count="7">
        <ns4:dataValidation type="list" allowBlank="1" showInputMessage="1" showErrorMessage="1" promptTitle="تنبيه" prompt="الرجاء اختيار نوع الاجازة._x000a_">
          <ns4:formula1>
            <ns5:f>قوائم!$L$2:$L$5</ns5:f>
          </ns4:formula1>
          <ns5:sqref>W4:W27 W30:W1048576</ns5:sqref>
        </ns4:dataValidation>
        <ns4:dataValidation type="list" allowBlank="1" showInputMessage="1" showErrorMessage="1">
          <ns4:formula1>
            <ns5:f>قوائم!$J$2:$J$4</ns5:f>
          </ns4:formula1>
          <ns5:sqref>X4:X1048576</ns5:sqref>
        </ns4:dataValidation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_x000a_وفي حالة عدم وجود الخيار الصحيح يرجى كتابته يدوياً">
          <ns4:formula1>
            <ns5:f>قوائم!$E$2:$E$7</ns5:f>
          </ns4:formula1>
          <ns5:sqref>H48:H561</ns5:sqref>
        </ns4:dataValidation>
        <ns4:dataValidation type="list" allowBlank="1" showInputMessage="1" showErrorMessage="1" promptTitle="تنبيه:" prompt="الرجاء اختيار من القائمة المنسدلة_x000a_وفي حالة عدم وجود الخيار الصحيح يرجى كتابته يدوياً.">
          <ns4:formula1>
            <ns5:f>قوائم!$B$3:$B$41</ns5:f>
          </ns4:formula1>
          <ns5:sqref>I48:I232</ns5:sqref>
        </ns4:dataValidation>
        <ns4:dataValidation type="list" errorStyle="warning" allowBlank="1" showInputMessage="1" showErrorMessage="1" error="الرجاء اختيار قيمة صحيحية في حال وجودها ضمن القائمة." promptTitle="تنبيه:" prompt="الرجاء اختيار من القائمة المنسدلة_x000a_وفي حالة عدم وجود الخيار الصحيح يرجى كتابته يدوياً">
          <ns4:formula1>
            <ns5:f>قوائم!$F$2:$F$19</ns5:f>
          </ns4:formula1>
          <ns5:sqref>O28:O29 O48:O204</ns5:sqref>
        </ns4:dataValidation>
        <ns4:dataValidation type="list" errorStyle="warning" allowBlank="1" showInputMessage="1" showErrorMessage="1" error="الرجاء اختيار قيمة صحيحية في حال وجودها ضمن القائمة.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O37:O47</ns5:sqref>
        </ns4:dataValidation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H43:H47 I44 H37:H41</ns5:sqref>
        </ns4:dataValidation>
      </ns4:dataValidations>
    </ext>
  </extLst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xmlns:ns4="http://schemas.microsoft.com/office/spreadsheetml/2009/9/main" xmlns:ns5="http://schemas.microsoft.com/office/excel/2006/main" ns1:Ignorable="x14ac">
  <sheetPr codeName="Worksheet____4">
    <tabColor rgb="FF0070C0"/>
    <pageSetUpPr fitToPage="1"/>
  </sheetPr>
  <dimension ref="A1:S568"/>
  <sheetViews>
    <sheetView rightToLeft="1" view="pageBreakPreview" zoomScale="80" zoomScaleSheetLayoutView="80" workbookViewId="0">
      <selection activeCell="B12" sqref="B12"/>
    </sheetView>
  </sheetViews>
  <sheetFormatPr defaultColWidth="9" defaultRowHeight="18" customHeight="1" ns2:dyDescent="0.3"/>
  <cols>
    <col min="1" max="1" width="4" style="36" customWidth="1"/>
    <col min="2" max="2" width="15.88671875" style="138" customWidth="1"/>
    <col min="3" max="3" width="22.77734375" style="36" customWidth="1"/>
    <col min="4" max="4" width="10.33203125" style="36" customWidth="1"/>
    <col min="5" max="5" width="6.21875" style="36" customWidth="1"/>
    <col min="6" max="6" width="6.6640625" style="36" customWidth="1"/>
    <col min="7" max="7" width="7.6640625" style="36" customWidth="1"/>
    <col min="8" max="8" width="10.88671875" style="36" customWidth="1"/>
    <col min="9" max="9" width="10.33203125" style="36" customWidth="1"/>
    <col min="10" max="10" width="17.21875" style="36" customWidth="1"/>
    <col min="11" max="11" width="5.77734375" style="36" customWidth="1"/>
    <col min="12" max="12" width="5.6640625" style="36" customWidth="1"/>
    <col min="13" max="13" width="7.21875" style="36" customWidth="1"/>
    <col min="14" max="14" width="18.109375" style="36" customWidth="1"/>
    <col min="15" max="15" width="12" style="36" customWidth="1"/>
    <col min="16" max="16" width="12.6640625" style="36" customWidth="1"/>
    <col min="17" max="17" width="10.88671875" style="21" customWidth="1"/>
    <col min="18" max="18" width="9.21875" style="21" customWidth="1"/>
    <col min="19" max="19" width="19.88671875" style="27" customWidth="1"/>
    <col min="20" max="16384" width="9" style="36"/>
  </cols>
  <sheetData>
    <row r="1" spans="1:19" s="33" customFormat="1" ht="22.5" customHeight="1" thickBot="1" ns2:dyDescent="0.35">
      <c r="A1" s="93"/>
      <c r="B1" s="137"/>
      <c r="C1" s="184" t="str">
        <f>البيان!$K$7</f>
        <v>طارق بن زياد</v>
      </c>
      <c r="D1" s="95"/>
      <c r="E1" s="95"/>
      <c r="F1" s="95"/>
      <c r="G1" s="95"/>
      <c r="H1" s="569" t="s">
        <v>276</v>
      </c>
      <c r="I1" s="569"/>
      <c r="J1" s="569"/>
      <c r="K1" s="569"/>
      <c r="L1" s="569"/>
      <c r="M1" s="569"/>
      <c r="N1" s="569"/>
      <c r="O1" s="569"/>
      <c r="P1" s="95"/>
      <c r="Q1" s="94" t="s">
        <v>155</v>
      </c>
      <c r="R1" s="94" t="str">
        <f>البيان!$J$7</f>
        <v>اولى</v>
      </c>
      <c r="S1" s="25"/>
    </row>
    <row r="2" spans="1:19" s="34" customFormat="1" ht="32.25" customHeight="1" thickBot="1" ns2:dyDescent="0.35">
      <c r="A2" s="572" t="s">
        <v>1</v>
      </c>
      <c r="B2" s="575" t="s">
        <v>180</v>
      </c>
      <c r="C2" s="526" t="s">
        <v>4</v>
      </c>
      <c r="D2" s="526" t="s">
        <v>91</v>
      </c>
      <c r="E2" s="574" t="s">
        <v>0</v>
      </c>
      <c r="F2" s="574"/>
      <c r="G2" s="574"/>
      <c r="H2" s="526" t="s">
        <v>56</v>
      </c>
      <c r="I2" s="526" t="s">
        <v>3</v>
      </c>
      <c r="J2" s="570" t="s">
        <v>127</v>
      </c>
      <c r="K2" s="564" t="s">
        <v>60</v>
      </c>
      <c r="L2" s="565"/>
      <c r="M2" s="566"/>
      <c r="N2" s="567" t="s">
        <v>35</v>
      </c>
      <c r="O2" s="568"/>
      <c r="P2" s="526" t="s">
        <v>83</v>
      </c>
      <c r="Q2" s="526" t="s">
        <v>126</v>
      </c>
      <c r="R2" s="526" t="s">
        <v>290</v>
      </c>
      <c r="S2" s="526" t="s">
        <v>289</v>
      </c>
    </row>
    <row r="3" spans="1:19" s="34" customFormat="1" ht="21" customHeight="1" thickBot="1" ns2:dyDescent="0.35">
      <c r="A3" s="573"/>
      <c r="B3" s="576"/>
      <c r="C3" s="527"/>
      <c r="D3" s="527"/>
      <c r="E3" s="87" t="s">
        <v>181</v>
      </c>
      <c r="F3" s="87" t="s">
        <v>182</v>
      </c>
      <c r="G3" s="87" t="s">
        <v>183</v>
      </c>
      <c r="H3" s="527"/>
      <c r="I3" s="527"/>
      <c r="J3" s="571"/>
      <c r="K3" s="96" t="s">
        <v>39</v>
      </c>
      <c r="L3" s="96" t="s">
        <v>40</v>
      </c>
      <c r="M3" s="96" t="s">
        <v>41</v>
      </c>
      <c r="N3" s="96" t="s">
        <v>61</v>
      </c>
      <c r="O3" s="96" t="s">
        <v>42</v>
      </c>
      <c r="P3" s="527"/>
      <c r="Q3" s="527"/>
      <c r="R3" s="527"/>
      <c r="S3" s="544"/>
    </row>
    <row r="4" spans="1:19" s="2" customFormat="1" ht="21.9" customHeight="1" ns2:dyDescent="0.3">
      <c r="A4" s="342">
        <f>ROWS($A$4:A4)</f>
        <v>1</v>
      </c>
      <c r="B4" s="343"/>
      <c r="C4" s="344"/>
      <c r="D4" s="344"/>
      <c r="E4" s="344"/>
      <c r="F4" s="344"/>
      <c r="G4" s="344"/>
      <c r="H4" s="344"/>
      <c r="I4" s="344"/>
      <c r="J4" s="345"/>
      <c r="K4" s="344"/>
      <c r="L4" s="344"/>
      <c r="M4" s="344"/>
      <c r="N4" s="346"/>
      <c r="O4" s="345"/>
      <c r="P4" s="345"/>
      <c r="Q4" s="60"/>
      <c r="R4" s="61"/>
      <c r="S4" s="30"/>
    </row>
    <row r="5" spans="1:19" s="2" customFormat="1" ht="21.9" customHeight="1" ns2:dyDescent="0.3">
      <c r="A5" s="342">
        <f>ROWS($A$4:A5)</f>
        <v>2</v>
      </c>
      <c r="B5" s="311"/>
      <c r="C5" s="309"/>
      <c r="D5" s="309"/>
      <c r="E5" s="309"/>
      <c r="F5" s="309"/>
      <c r="G5" s="309"/>
      <c r="H5" s="344"/>
      <c r="I5" s="309"/>
      <c r="J5" s="347"/>
      <c r="K5" s="309"/>
      <c r="L5" s="309"/>
      <c r="M5" s="309"/>
      <c r="N5" s="307"/>
      <c r="O5" s="347"/>
      <c r="P5" s="347"/>
      <c r="Q5" s="60"/>
      <c r="R5" s="54"/>
      <c r="S5" s="30"/>
    </row>
    <row r="6" spans="1:19" s="2" customFormat="1" ht="21.9" customHeight="1" ns2:dyDescent="0.3">
      <c r="A6" s="342">
        <f>ROWS($A$4:A6)</f>
        <v>3</v>
      </c>
      <c r="B6" s="311"/>
      <c r="C6" s="309"/>
      <c r="D6" s="309"/>
      <c r="E6" s="309"/>
      <c r="F6" s="309"/>
      <c r="G6" s="309"/>
      <c r="H6" s="344"/>
      <c r="I6" s="309"/>
      <c r="J6" s="347"/>
      <c r="K6" s="309"/>
      <c r="L6" s="309"/>
      <c r="M6" s="309"/>
      <c r="N6" s="307"/>
      <c r="O6" s="347"/>
      <c r="P6" s="347"/>
      <c r="Q6" s="60"/>
      <c r="R6" s="54"/>
      <c r="S6" s="30"/>
    </row>
    <row r="7" spans="1:19" s="2" customFormat="1" ht="21.9" customHeight="1" ns2:dyDescent="0.3">
      <c r="A7" s="342">
        <f>ROWS($A$4:A7)</f>
        <v>4</v>
      </c>
      <c r="B7" s="311"/>
      <c r="C7" s="309"/>
      <c r="D7" s="309"/>
      <c r="E7" s="309"/>
      <c r="F7" s="309"/>
      <c r="G7" s="309"/>
      <c r="H7" s="344"/>
      <c r="I7" s="309"/>
      <c r="J7" s="347"/>
      <c r="K7" s="309"/>
      <c r="L7" s="309"/>
      <c r="M7" s="309"/>
      <c r="N7" s="307"/>
      <c r="O7" s="347"/>
      <c r="P7" s="347"/>
      <c r="Q7" s="60"/>
      <c r="R7" s="54"/>
      <c r="S7" s="30"/>
    </row>
    <row r="8" spans="1:19" s="2" customFormat="1" ht="21.9" customHeight="1" ns2:dyDescent="0.3">
      <c r="A8" s="342">
        <f>ROWS($A$4:A8)</f>
        <v>5</v>
      </c>
      <c r="B8" s="306"/>
      <c r="C8" s="308"/>
      <c r="D8" s="308"/>
      <c r="E8" s="309"/>
      <c r="F8" s="309"/>
      <c r="G8" s="309"/>
      <c r="H8" s="348"/>
      <c r="I8" s="309"/>
      <c r="J8" s="347"/>
      <c r="K8" s="309"/>
      <c r="L8" s="309"/>
      <c r="M8" s="309"/>
      <c r="N8" s="307"/>
      <c r="O8" s="347"/>
      <c r="P8" s="349"/>
      <c r="Q8" s="60"/>
      <c r="R8" s="54"/>
      <c r="S8" s="30"/>
    </row>
    <row r="9" spans="1:19" s="2" customFormat="1" ht="21.9" customHeight="1" ns2:dyDescent="0.3">
      <c r="A9" s="342">
        <f>ROWS($A$4:A9)</f>
        <v>6</v>
      </c>
      <c r="B9" s="306"/>
      <c r="C9" s="308"/>
      <c r="D9" s="308"/>
      <c r="E9" s="309"/>
      <c r="F9" s="309"/>
      <c r="G9" s="309"/>
      <c r="H9" s="348"/>
      <c r="I9" s="309"/>
      <c r="J9" s="347"/>
      <c r="K9" s="309"/>
      <c r="L9" s="309"/>
      <c r="M9" s="309"/>
      <c r="N9" s="307"/>
      <c r="O9" s="347"/>
      <c r="P9" s="349"/>
      <c r="Q9" s="60"/>
      <c r="R9" s="54"/>
      <c r="S9" s="30"/>
    </row>
    <row r="10" spans="1:19" s="2" customFormat="1" ht="21.9" customHeight="1" ns2:dyDescent="0.3">
      <c r="A10" s="342"/>
      <c r="B10" s="306"/>
      <c r="C10" s="308"/>
      <c r="D10" s="308"/>
      <c r="E10" s="309"/>
      <c r="F10" s="309"/>
      <c r="G10" s="309"/>
      <c r="H10" s="348"/>
      <c r="I10" s="309"/>
      <c r="J10" s="347"/>
      <c r="K10" s="309"/>
      <c r="L10" s="309"/>
      <c r="M10" s="309"/>
      <c r="N10" s="307"/>
      <c r="O10" s="347"/>
      <c r="P10" s="349"/>
      <c r="Q10" s="60"/>
      <c r="R10" s="54"/>
      <c r="S10" s="30"/>
    </row>
    <row r="11" spans="1:19" s="2" customFormat="1" ht="21.9" customHeight="1" ns2:dyDescent="0.3">
      <c r="A11" s="58">
        <f>ROWS($A$4:A11)</f>
        <v>8</v>
      </c>
      <c r="B11" s="133"/>
      <c r="C11" s="32"/>
      <c r="D11" s="32"/>
      <c r="E11" s="32"/>
      <c r="F11" s="32"/>
      <c r="G11" s="32"/>
      <c r="H11" s="60"/>
      <c r="I11" s="32"/>
      <c r="J11" s="35"/>
      <c r="K11" s="32"/>
      <c r="L11" s="32"/>
      <c r="M11" s="32"/>
      <c r="N11" s="277"/>
      <c r="O11" s="35"/>
      <c r="P11" s="35"/>
      <c r="Q11" s="60"/>
      <c r="R11" s="54"/>
      <c r="S11" s="30"/>
    </row>
    <row r="12" spans="1:19" s="2" customFormat="1" ht="21.9" customHeight="1" ns2:dyDescent="0.3">
      <c r="A12" s="58">
        <f>ROWS($A$4:A12)</f>
        <v>9</v>
      </c>
      <c r="B12" s="133"/>
      <c r="C12" s="32"/>
      <c r="D12" s="32"/>
      <c r="E12" s="32"/>
      <c r="F12" s="32"/>
      <c r="G12" s="32"/>
      <c r="H12" s="60"/>
      <c r="I12" s="32"/>
      <c r="J12" s="35"/>
      <c r="K12" s="32"/>
      <c r="L12" s="32"/>
      <c r="M12" s="32"/>
      <c r="N12" s="277"/>
      <c r="O12" s="35"/>
      <c r="P12" s="35"/>
      <c r="Q12" s="60"/>
      <c r="R12" s="54"/>
      <c r="S12" s="30"/>
    </row>
    <row r="13" spans="1:19" s="2" customFormat="1" ht="21.9" customHeight="1" ns2:dyDescent="0.3">
      <c r="A13" s="58">
        <f>ROWS($A$4:A13)</f>
        <v>10</v>
      </c>
      <c r="B13" s="133"/>
      <c r="C13" s="32"/>
      <c r="D13" s="32"/>
      <c r="E13" s="32"/>
      <c r="F13" s="32"/>
      <c r="G13" s="32"/>
      <c r="H13" s="60"/>
      <c r="I13" s="32"/>
      <c r="J13" s="35"/>
      <c r="K13" s="32"/>
      <c r="L13" s="32"/>
      <c r="M13" s="32"/>
      <c r="N13" s="277"/>
      <c r="O13" s="35"/>
      <c r="P13" s="35"/>
      <c r="Q13" s="60"/>
      <c r="R13" s="54"/>
      <c r="S13" s="30"/>
    </row>
    <row r="14" spans="1:19" s="2" customFormat="1" ht="21.9" customHeight="1" ns2:dyDescent="0.3">
      <c r="A14" s="58">
        <f>ROWS($A$4:A14)</f>
        <v>11</v>
      </c>
      <c r="B14" s="133"/>
      <c r="C14" s="32"/>
      <c r="D14" s="32"/>
      <c r="E14" s="32"/>
      <c r="F14" s="32"/>
      <c r="G14" s="32"/>
      <c r="H14" s="60"/>
      <c r="I14" s="32"/>
      <c r="J14" s="35"/>
      <c r="K14" s="32"/>
      <c r="L14" s="32"/>
      <c r="M14" s="32"/>
      <c r="N14" s="277"/>
      <c r="O14" s="35"/>
      <c r="P14" s="35"/>
      <c r="Q14" s="60"/>
      <c r="R14" s="54"/>
      <c r="S14" s="30"/>
    </row>
    <row r="15" spans="1:19" s="2" customFormat="1" ht="21.9" customHeight="1" ns2:dyDescent="0.3">
      <c r="A15" s="58">
        <f>ROWS($A$4:A15)</f>
        <v>12</v>
      </c>
      <c r="B15" s="133"/>
      <c r="C15" s="32"/>
      <c r="D15" s="32"/>
      <c r="E15" s="32"/>
      <c r="F15" s="32"/>
      <c r="G15" s="32"/>
      <c r="H15" s="60"/>
      <c r="I15" s="32"/>
      <c r="J15" s="35"/>
      <c r="K15" s="32"/>
      <c r="L15" s="32"/>
      <c r="M15" s="32"/>
      <c r="N15" s="277"/>
      <c r="O15" s="35"/>
      <c r="P15" s="35"/>
      <c r="Q15" s="60"/>
      <c r="R15" s="54"/>
      <c r="S15" s="30"/>
    </row>
    <row r="16" spans="1:19" s="2" customFormat="1" ht="21.9" customHeight="1" ns2:dyDescent="0.3">
      <c r="A16" s="58">
        <f>ROWS($A$4:A16)</f>
        <v>13</v>
      </c>
      <c r="B16" s="133"/>
      <c r="C16" s="32"/>
      <c r="D16" s="32"/>
      <c r="E16" s="32"/>
      <c r="F16" s="32"/>
      <c r="G16" s="32"/>
      <c r="H16" s="60"/>
      <c r="I16" s="32"/>
      <c r="J16" s="35"/>
      <c r="K16" s="32"/>
      <c r="L16" s="32"/>
      <c r="M16" s="32"/>
      <c r="N16" s="277"/>
      <c r="O16" s="35"/>
      <c r="P16" s="35"/>
      <c r="Q16" s="60"/>
      <c r="R16" s="54"/>
      <c r="S16" s="30"/>
    </row>
    <row r="17" spans="1:19" s="2" customFormat="1" ht="21.9" customHeight="1" ns2:dyDescent="0.3">
      <c r="A17" s="58">
        <f>ROWS($A$4:A17)</f>
        <v>14</v>
      </c>
      <c r="B17" s="133"/>
      <c r="C17" s="32"/>
      <c r="D17" s="32"/>
      <c r="E17" s="32"/>
      <c r="F17" s="32"/>
      <c r="G17" s="32"/>
      <c r="H17" s="60"/>
      <c r="I17" s="32"/>
      <c r="J17" s="35"/>
      <c r="K17" s="32"/>
      <c r="L17" s="32"/>
      <c r="M17" s="32"/>
      <c r="N17" s="277"/>
      <c r="O17" s="35"/>
      <c r="P17" s="35"/>
      <c r="Q17" s="60"/>
      <c r="R17" s="54"/>
      <c r="S17" s="30"/>
    </row>
    <row r="18" spans="1:19" s="2" customFormat="1" ht="21.9" customHeight="1" ns2:dyDescent="0.3">
      <c r="A18" s="58">
        <f>ROWS($A$4:A18)</f>
        <v>15</v>
      </c>
      <c r="B18" s="133"/>
      <c r="C18" s="32"/>
      <c r="D18" s="32"/>
      <c r="E18" s="32"/>
      <c r="F18" s="32"/>
      <c r="G18" s="32"/>
      <c r="H18" s="60"/>
      <c r="I18" s="32"/>
      <c r="J18" s="35"/>
      <c r="K18" s="32"/>
      <c r="L18" s="32"/>
      <c r="M18" s="32"/>
      <c r="N18" s="277"/>
      <c r="O18" s="35"/>
      <c r="P18" s="35"/>
      <c r="Q18" s="60"/>
      <c r="R18" s="54"/>
      <c r="S18" s="30"/>
    </row>
    <row r="19" spans="1:19" s="2" customFormat="1" ht="21.9" customHeight="1" ns2:dyDescent="0.3">
      <c r="A19" s="58">
        <f>ROWS($A$4:A19)</f>
        <v>16</v>
      </c>
      <c r="B19" s="133"/>
      <c r="C19" s="32"/>
      <c r="D19" s="32"/>
      <c r="E19" s="32"/>
      <c r="F19" s="32"/>
      <c r="G19" s="32"/>
      <c r="H19" s="60"/>
      <c r="I19" s="32"/>
      <c r="J19" s="35"/>
      <c r="K19" s="32"/>
      <c r="L19" s="32"/>
      <c r="M19" s="32"/>
      <c r="N19" s="277"/>
      <c r="O19" s="35"/>
      <c r="P19" s="35"/>
      <c r="Q19" s="60"/>
      <c r="R19" s="54"/>
      <c r="S19" s="30"/>
    </row>
    <row r="20" spans="1:19" s="2" customFormat="1" ht="21.9" customHeight="1" ns2:dyDescent="0.3">
      <c r="A20" s="58">
        <f>ROWS($A$4:A20)</f>
        <v>17</v>
      </c>
      <c r="B20" s="133"/>
      <c r="C20" s="32"/>
      <c r="D20" s="32"/>
      <c r="E20" s="32"/>
      <c r="F20" s="32"/>
      <c r="G20" s="32"/>
      <c r="H20" s="60"/>
      <c r="I20" s="32"/>
      <c r="J20" s="35"/>
      <c r="K20" s="32"/>
      <c r="L20" s="32"/>
      <c r="M20" s="32"/>
      <c r="N20" s="277"/>
      <c r="O20" s="35"/>
      <c r="P20" s="35"/>
      <c r="Q20" s="60"/>
      <c r="R20" s="54"/>
      <c r="S20" s="30"/>
    </row>
    <row r="21" spans="1:19" s="2" customFormat="1" ht="21.9" customHeight="1" ns2:dyDescent="0.3">
      <c r="A21" s="58">
        <f>ROWS($A$4:A21)</f>
        <v>18</v>
      </c>
      <c r="B21" s="133"/>
      <c r="C21" s="32"/>
      <c r="D21" s="32"/>
      <c r="E21" s="32"/>
      <c r="F21" s="32"/>
      <c r="G21" s="32"/>
      <c r="H21" s="60"/>
      <c r="I21" s="32"/>
      <c r="J21" s="35"/>
      <c r="K21" s="32"/>
      <c r="L21" s="32"/>
      <c r="M21" s="32"/>
      <c r="N21" s="277"/>
      <c r="O21" s="35"/>
      <c r="P21" s="35"/>
      <c r="Q21" s="60"/>
      <c r="R21" s="54"/>
      <c r="S21" s="30"/>
    </row>
    <row r="22" spans="1:19" s="2" customFormat="1" ht="21.9" customHeight="1" ns2:dyDescent="0.3">
      <c r="A22" s="58">
        <f>ROWS($A$4:A22)</f>
        <v>19</v>
      </c>
      <c r="B22" s="133"/>
      <c r="C22" s="32"/>
      <c r="D22" s="32"/>
      <c r="E22" s="32"/>
      <c r="F22" s="32"/>
      <c r="G22" s="32"/>
      <c r="H22" s="60"/>
      <c r="I22" s="32"/>
      <c r="J22" s="35"/>
      <c r="K22" s="32"/>
      <c r="L22" s="32"/>
      <c r="M22" s="32"/>
      <c r="N22" s="277"/>
      <c r="O22" s="35"/>
      <c r="P22" s="35"/>
      <c r="Q22" s="60"/>
      <c r="R22" s="54"/>
      <c r="S22" s="30"/>
    </row>
    <row r="23" spans="1:19" s="2" customFormat="1" ht="18" customHeight="1" ns2:dyDescent="0.3">
      <c r="A23" s="58">
        <f>ROWS($A$4:A23)</f>
        <v>20</v>
      </c>
      <c r="B23" s="133"/>
      <c r="C23" s="32"/>
      <c r="D23" s="32"/>
      <c r="E23" s="32"/>
      <c r="F23" s="32"/>
      <c r="G23" s="32"/>
      <c r="H23" s="60"/>
      <c r="I23" s="32"/>
      <c r="J23" s="35"/>
      <c r="K23" s="32"/>
      <c r="L23" s="32"/>
      <c r="M23" s="32"/>
      <c r="N23" s="277"/>
      <c r="O23" s="35"/>
      <c r="P23" s="35"/>
      <c r="Q23" s="60"/>
      <c r="R23" s="54"/>
      <c r="S23" s="30"/>
    </row>
    <row r="24" spans="1:19" s="2" customFormat="1" ht="18" customHeight="1" ns2:dyDescent="0.3">
      <c r="A24" s="35"/>
      <c r="B24" s="133"/>
      <c r="C24" s="32"/>
      <c r="D24" s="32"/>
      <c r="E24" s="32"/>
      <c r="F24" s="32"/>
      <c r="G24" s="32"/>
      <c r="H24" s="60"/>
      <c r="I24" s="32"/>
      <c r="J24" s="35"/>
      <c r="K24" s="32"/>
      <c r="L24" s="32"/>
      <c r="M24" s="32"/>
      <c r="N24" s="277"/>
      <c r="O24" s="35"/>
      <c r="P24" s="35"/>
      <c r="Q24" s="60"/>
      <c r="R24" s="54"/>
      <c r="S24" s="30"/>
    </row>
    <row r="25" spans="1:19" s="2" customFormat="1" ht="18" customHeight="1" ns2:dyDescent="0.3">
      <c r="A25" s="35"/>
      <c r="B25" s="133"/>
      <c r="C25" s="55"/>
      <c r="D25" s="55"/>
      <c r="E25" s="55"/>
      <c r="F25" s="55"/>
      <c r="G25" s="55"/>
      <c r="H25" s="60"/>
      <c r="I25" s="55"/>
      <c r="J25" s="35"/>
      <c r="K25" s="55"/>
      <c r="L25" s="55"/>
      <c r="M25" s="55"/>
      <c r="N25" s="278"/>
      <c r="O25" s="35"/>
      <c r="P25" s="35"/>
      <c r="Q25" s="60"/>
      <c r="R25" s="54"/>
      <c r="S25" s="30"/>
    </row>
    <row r="26" spans="1:19" s="2" customFormat="1" ht="18" customHeight="1" ns2:dyDescent="0.3">
      <c r="A26" s="35"/>
      <c r="B26" s="134"/>
      <c r="C26" s="21"/>
      <c r="D26" s="21"/>
      <c r="E26" s="21"/>
      <c r="F26" s="21"/>
      <c r="G26" s="21"/>
      <c r="H26" s="60"/>
      <c r="I26" s="21"/>
      <c r="J26" s="35"/>
      <c r="K26" s="21"/>
      <c r="L26" s="21"/>
      <c r="M26" s="21"/>
      <c r="N26" s="279"/>
      <c r="O26" s="35"/>
      <c r="P26" s="35"/>
      <c r="Q26" s="60"/>
      <c r="R26" s="54"/>
      <c r="S26" s="30"/>
    </row>
    <row r="27" spans="1:19" s="2" customFormat="1" ht="18" customHeight="1" ns2:dyDescent="0.3">
      <c r="A27" s="35"/>
      <c r="B27" s="134"/>
      <c r="C27" s="21"/>
      <c r="D27" s="21"/>
      <c r="E27" s="21"/>
      <c r="F27" s="21"/>
      <c r="G27" s="21"/>
      <c r="H27" s="60"/>
      <c r="I27" s="21"/>
      <c r="J27" s="35"/>
      <c r="K27" s="21"/>
      <c r="L27" s="21"/>
      <c r="M27" s="21"/>
      <c r="N27" s="279"/>
      <c r="O27" s="35"/>
      <c r="P27" s="35"/>
      <c r="Q27" s="60"/>
      <c r="R27" s="54"/>
      <c r="S27" s="30"/>
    </row>
    <row r="28" spans="1:19" s="2" customFormat="1" ht="18" customHeight="1" ns2:dyDescent="0.3">
      <c r="A28" s="35"/>
      <c r="B28" s="134"/>
      <c r="C28" s="21"/>
      <c r="D28" s="21"/>
      <c r="E28" s="21"/>
      <c r="F28" s="21"/>
      <c r="G28" s="21"/>
      <c r="H28" s="60"/>
      <c r="I28" s="21"/>
      <c r="J28" s="35"/>
      <c r="K28" s="21"/>
      <c r="L28" s="21"/>
      <c r="M28" s="21"/>
      <c r="N28" s="279"/>
      <c r="O28" s="35"/>
      <c r="P28" s="35"/>
      <c r="Q28" s="60"/>
      <c r="R28" s="54"/>
      <c r="S28" s="30"/>
    </row>
    <row r="29" spans="1:19" s="2" customFormat="1" ht="18" customHeight="1" ns2:dyDescent="0.3">
      <c r="A29" s="35"/>
      <c r="B29" s="134"/>
      <c r="C29" s="21"/>
      <c r="D29" s="21"/>
      <c r="E29" s="21"/>
      <c r="F29" s="21"/>
      <c r="G29" s="21"/>
      <c r="H29" s="60"/>
      <c r="I29" s="21"/>
      <c r="J29" s="35"/>
      <c r="K29" s="21"/>
      <c r="L29" s="21"/>
      <c r="M29" s="21"/>
      <c r="N29" s="279"/>
      <c r="O29" s="35"/>
      <c r="P29" s="35"/>
      <c r="Q29" s="60"/>
      <c r="R29" s="54"/>
      <c r="S29" s="212"/>
    </row>
    <row r="30" spans="1:19" s="2" customFormat="1" ht="18" customHeight="1" ns2:dyDescent="0.3">
      <c r="A30" s="35"/>
      <c r="B30" s="134"/>
      <c r="C30" s="21"/>
      <c r="D30" s="21"/>
      <c r="E30" s="21"/>
      <c r="F30" s="21"/>
      <c r="G30" s="21"/>
      <c r="H30" s="60"/>
      <c r="I30" s="21"/>
      <c r="J30" s="35"/>
      <c r="K30" s="21"/>
      <c r="L30" s="21"/>
      <c r="M30" s="21"/>
      <c r="N30" s="279"/>
      <c r="O30" s="35"/>
      <c r="P30" s="35"/>
      <c r="Q30" s="60"/>
      <c r="R30" s="54"/>
      <c r="S30" s="30"/>
    </row>
    <row r="31" spans="1:19" s="2" customFormat="1" ht="18" customHeight="1" ns2:dyDescent="0.3">
      <c r="A31" s="35"/>
      <c r="B31" s="134"/>
      <c r="C31" s="21"/>
      <c r="D31" s="21"/>
      <c r="E31" s="21"/>
      <c r="F31" s="21"/>
      <c r="G31" s="21"/>
      <c r="H31" s="60"/>
      <c r="I31" s="21"/>
      <c r="J31" s="35"/>
      <c r="K31" s="21"/>
      <c r="L31" s="21"/>
      <c r="M31" s="21"/>
      <c r="N31" s="279"/>
      <c r="O31" s="35"/>
      <c r="P31" s="35"/>
      <c r="Q31" s="60"/>
      <c r="R31" s="54"/>
      <c r="S31" s="30"/>
    </row>
    <row r="32" spans="1:19" s="2" customFormat="1" ht="18" customHeight="1" ns2:dyDescent="0.3">
      <c r="A32" s="35"/>
      <c r="B32" s="134"/>
      <c r="C32" s="21"/>
      <c r="D32" s="21"/>
      <c r="E32" s="21"/>
      <c r="F32" s="21"/>
      <c r="G32" s="21"/>
      <c r="H32" s="60"/>
      <c r="I32" s="21"/>
      <c r="J32" s="35"/>
      <c r="K32" s="21"/>
      <c r="L32" s="21"/>
      <c r="M32" s="21"/>
      <c r="N32" s="279"/>
      <c r="O32" s="35"/>
      <c r="P32" s="35"/>
      <c r="Q32" s="60"/>
      <c r="R32" s="54"/>
      <c r="S32" s="30"/>
    </row>
    <row r="33" spans="8:19" ht="18" customHeight="1" ns2:dyDescent="0.3">
      <c r="H33" s="60"/>
      <c r="Q33" s="60"/>
      <c r="R33" s="22"/>
      <c r="S33" s="30"/>
    </row>
    <row r="34" spans="8:19" ht="18" customHeight="1" ns2:dyDescent="0.3">
      <c r="H34" s="60"/>
      <c r="Q34" s="60"/>
      <c r="R34" s="22"/>
      <c r="S34" s="30"/>
    </row>
    <row r="35" spans="8:19" ht="18" customHeight="1" ns2:dyDescent="0.3">
      <c r="H35" s="60"/>
      <c r="Q35" s="60"/>
      <c r="R35" s="22"/>
      <c r="S35" s="30"/>
    </row>
    <row r="36" spans="8:19" ht="18" customHeight="1" ns2:dyDescent="0.3">
      <c r="H36" s="60"/>
      <c r="Q36" s="60"/>
      <c r="R36" s="22"/>
      <c r="S36" s="30"/>
    </row>
    <row r="37" spans="8:19" ht="18" customHeight="1" ns2:dyDescent="0.3">
      <c r="H37" s="60"/>
      <c r="Q37" s="60"/>
      <c r="R37" s="22"/>
      <c r="S37" s="30"/>
    </row>
    <row r="38" spans="8:19" ht="18" customHeight="1" ns2:dyDescent="0.3">
      <c r="H38" s="60"/>
      <c r="Q38" s="60"/>
      <c r="R38" s="22"/>
      <c r="S38" s="30"/>
    </row>
    <row r="39" spans="8:19" ht="18" customHeight="1" ns2:dyDescent="0.3">
      <c r="H39" s="60"/>
      <c r="Q39" s="60"/>
      <c r="R39" s="22"/>
      <c r="S39" s="30"/>
    </row>
    <row r="40" spans="8:19" ht="18" customHeight="1" ns2:dyDescent="0.3">
      <c r="H40" s="60"/>
      <c r="Q40" s="60"/>
      <c r="R40" s="22"/>
      <c r="S40" s="30"/>
    </row>
    <row r="41" spans="8:19" ht="18" customHeight="1" ns2:dyDescent="0.3">
      <c r="H41" s="60"/>
      <c r="Q41" s="60"/>
      <c r="R41" s="22"/>
      <c r="S41" s="30"/>
    </row>
    <row r="42" spans="8:19" ht="18" customHeight="1" ns2:dyDescent="0.3">
      <c r="H42" s="60"/>
      <c r="Q42" s="60"/>
      <c r="R42" s="22"/>
      <c r="S42" s="30"/>
    </row>
    <row r="43" spans="8:19" ht="18" customHeight="1" ns2:dyDescent="0.3">
      <c r="H43" s="60"/>
      <c r="Q43" s="60"/>
      <c r="R43" s="22"/>
      <c r="S43" s="30"/>
    </row>
    <row r="44" spans="8:19" ht="18" customHeight="1" ns2:dyDescent="0.3">
      <c r="H44" s="60"/>
      <c r="Q44" s="60"/>
      <c r="R44" s="22"/>
      <c r="S44" s="30"/>
    </row>
    <row r="45" spans="8:19" ht="18" customHeight="1" ns2:dyDescent="0.3">
      <c r="H45" s="60"/>
      <c r="Q45" s="60"/>
      <c r="R45" s="22"/>
      <c r="S45" s="30"/>
    </row>
    <row r="46" spans="8:19" ht="18" customHeight="1" ns2:dyDescent="0.3">
      <c r="H46" s="60"/>
      <c r="Q46" s="60"/>
      <c r="R46" s="22"/>
      <c r="S46" s="30"/>
    </row>
    <row r="47" spans="8:19" ht="18" customHeight="1" ns2:dyDescent="0.3">
      <c r="H47" s="60"/>
      <c r="Q47" s="60"/>
      <c r="R47" s="22"/>
      <c r="S47" s="30"/>
    </row>
    <row r="48" spans="8:19" ht="18" customHeight="1" ns2:dyDescent="0.3">
      <c r="H48" s="60"/>
      <c r="Q48" s="60"/>
      <c r="R48" s="22"/>
      <c r="S48" s="30"/>
    </row>
    <row r="49" spans="8:19" ht="18" customHeight="1" ns2:dyDescent="0.3">
      <c r="H49" s="60"/>
      <c r="Q49" s="60"/>
      <c r="R49" s="22"/>
      <c r="S49" s="30"/>
    </row>
    <row r="50" spans="8:19" ht="18" customHeight="1" ns2:dyDescent="0.3">
      <c r="H50" s="60"/>
      <c r="Q50" s="60"/>
      <c r="R50" s="22"/>
      <c r="S50" s="30"/>
    </row>
    <row r="51" spans="8:19" ht="18" customHeight="1" ns2:dyDescent="0.3">
      <c r="H51" s="60"/>
      <c r="Q51" s="60"/>
      <c r="R51" s="22"/>
      <c r="S51" s="30"/>
    </row>
    <row r="52" spans="8:19" ht="18" customHeight="1" ns2:dyDescent="0.3">
      <c r="H52" s="60"/>
      <c r="Q52" s="60"/>
      <c r="R52" s="22"/>
      <c r="S52" s="30"/>
    </row>
    <row r="53" spans="8:19" ht="18" customHeight="1" ns2:dyDescent="0.3">
      <c r="H53" s="60"/>
      <c r="Q53" s="60"/>
      <c r="R53" s="22"/>
      <c r="S53" s="30"/>
    </row>
    <row r="54" spans="8:19" ht="18" customHeight="1" ns2:dyDescent="0.3">
      <c r="H54" s="60"/>
      <c r="Q54" s="60"/>
      <c r="R54" s="22"/>
      <c r="S54" s="30"/>
    </row>
    <row r="55" spans="8:19" ht="18" customHeight="1" ns2:dyDescent="0.3">
      <c r="H55" s="60"/>
      <c r="Q55" s="60"/>
      <c r="R55" s="22"/>
      <c r="S55" s="30"/>
    </row>
    <row r="56" spans="8:19" ht="18" customHeight="1" ns2:dyDescent="0.3">
      <c r="H56" s="60"/>
      <c r="Q56" s="60"/>
      <c r="R56" s="22"/>
      <c r="S56" s="30"/>
    </row>
    <row r="57" spans="8:19" ht="18" customHeight="1" ns2:dyDescent="0.3">
      <c r="H57" s="60"/>
      <c r="Q57" s="60"/>
      <c r="R57" s="22"/>
      <c r="S57" s="30"/>
    </row>
    <row r="58" spans="8:19" ht="18" customHeight="1" ns2:dyDescent="0.3">
      <c r="H58" s="60"/>
      <c r="Q58" s="60"/>
      <c r="R58" s="22"/>
      <c r="S58" s="30"/>
    </row>
    <row r="59" spans="8:19" ht="18" customHeight="1" ns2:dyDescent="0.3">
      <c r="H59" s="60"/>
      <c r="Q59" s="60"/>
      <c r="R59" s="22"/>
      <c r="S59" s="30"/>
    </row>
    <row r="60" spans="8:19" ht="18" customHeight="1" ns2:dyDescent="0.3">
      <c r="H60" s="60"/>
      <c r="Q60" s="60"/>
      <c r="R60" s="22"/>
      <c r="S60" s="30"/>
    </row>
    <row r="61" spans="8:19" ht="18" customHeight="1" ns2:dyDescent="0.3">
      <c r="H61" s="60"/>
      <c r="Q61" s="60"/>
      <c r="R61" s="22"/>
      <c r="S61" s="30"/>
    </row>
    <row r="62" spans="8:19" ht="18" customHeight="1" ns2:dyDescent="0.3">
      <c r="H62" s="60"/>
      <c r="Q62" s="60"/>
      <c r="R62" s="22"/>
      <c r="S62" s="30"/>
    </row>
    <row r="63" spans="8:19" ht="18" customHeight="1" ns2:dyDescent="0.3">
      <c r="H63" s="60"/>
      <c r="Q63" s="60"/>
      <c r="R63" s="22"/>
      <c r="S63" s="30"/>
    </row>
    <row r="64" spans="8:19" ht="18" customHeight="1" ns2:dyDescent="0.3">
      <c r="H64" s="60"/>
      <c r="Q64" s="60"/>
      <c r="R64" s="22"/>
      <c r="S64" s="30"/>
    </row>
    <row r="65" spans="8:19" ht="18" customHeight="1" ns2:dyDescent="0.3">
      <c r="H65" s="60"/>
      <c r="Q65" s="60"/>
      <c r="R65" s="22"/>
      <c r="S65" s="30"/>
    </row>
    <row r="66" spans="8:19" ht="18" customHeight="1" ns2:dyDescent="0.3">
      <c r="H66" s="60"/>
      <c r="Q66" s="60"/>
      <c r="R66" s="22"/>
      <c r="S66" s="30"/>
    </row>
    <row r="67" spans="8:19" ht="18" customHeight="1" ns2:dyDescent="0.3">
      <c r="H67" s="60"/>
      <c r="Q67" s="60"/>
      <c r="R67" s="22"/>
      <c r="S67" s="30"/>
    </row>
    <row r="68" spans="8:19" ht="18" customHeight="1" ns2:dyDescent="0.3">
      <c r="H68" s="60"/>
      <c r="Q68" s="60"/>
      <c r="R68" s="22"/>
      <c r="S68" s="30"/>
    </row>
    <row r="69" spans="8:19" ht="18" customHeight="1" ns2:dyDescent="0.3">
      <c r="H69" s="60"/>
      <c r="Q69" s="60"/>
      <c r="R69" s="22"/>
      <c r="S69" s="30"/>
    </row>
    <row r="70" spans="8:19" ht="18" customHeight="1" ns2:dyDescent="0.3">
      <c r="H70" s="60"/>
      <c r="Q70" s="60"/>
      <c r="R70" s="22"/>
      <c r="S70" s="30"/>
    </row>
    <row r="71" spans="8:19" ht="18" customHeight="1" ns2:dyDescent="0.3">
      <c r="H71" s="60"/>
      <c r="Q71" s="60"/>
      <c r="R71" s="22"/>
      <c r="S71" s="30"/>
    </row>
    <row r="72" spans="8:19" ht="18" customHeight="1" ns2:dyDescent="0.3">
      <c r="H72" s="60"/>
      <c r="Q72" s="60"/>
      <c r="R72" s="22"/>
      <c r="S72" s="30"/>
    </row>
    <row r="73" spans="8:19" ht="18" customHeight="1" ns2:dyDescent="0.3">
      <c r="H73" s="60"/>
      <c r="Q73" s="60"/>
      <c r="R73" s="22"/>
      <c r="S73" s="30"/>
    </row>
    <row r="74" spans="8:19" ht="18" customHeight="1" ns2:dyDescent="0.3">
      <c r="H74" s="60"/>
      <c r="Q74" s="60"/>
      <c r="R74" s="22"/>
      <c r="S74" s="30"/>
    </row>
    <row r="75" spans="8:19" ht="18" customHeight="1" ns2:dyDescent="0.3">
      <c r="H75" s="60"/>
      <c r="Q75" s="60"/>
      <c r="R75" s="22"/>
      <c r="S75" s="30"/>
    </row>
    <row r="76" spans="8:19" ht="18" customHeight="1" ns2:dyDescent="0.3">
      <c r="H76" s="60"/>
      <c r="Q76" s="60"/>
      <c r="R76" s="22"/>
      <c r="S76" s="30"/>
    </row>
    <row r="77" spans="8:19" ht="18" customHeight="1" ns2:dyDescent="0.3">
      <c r="H77" s="60"/>
      <c r="Q77" s="60"/>
      <c r="R77" s="22"/>
      <c r="S77" s="30"/>
    </row>
    <row r="78" spans="8:19" ht="18" customHeight="1" ns2:dyDescent="0.3">
      <c r="H78" s="60"/>
      <c r="Q78" s="60"/>
      <c r="R78" s="22"/>
      <c r="S78" s="30"/>
    </row>
    <row r="79" spans="8:19" ht="18" customHeight="1" ns2:dyDescent="0.3">
      <c r="H79" s="60"/>
      <c r="Q79" s="60"/>
      <c r="R79" s="22"/>
      <c r="S79" s="30"/>
    </row>
    <row r="80" spans="8:19" ht="18" customHeight="1" ns2:dyDescent="0.3">
      <c r="H80" s="60"/>
      <c r="Q80" s="60"/>
      <c r="R80" s="22"/>
      <c r="S80" s="30"/>
    </row>
    <row r="81" spans="8:19" ht="18" customHeight="1" ns2:dyDescent="0.3">
      <c r="H81" s="60"/>
      <c r="Q81" s="60"/>
      <c r="R81" s="22"/>
      <c r="S81" s="30"/>
    </row>
    <row r="82" spans="8:19" ht="18" customHeight="1" ns2:dyDescent="0.3">
      <c r="H82" s="60"/>
      <c r="Q82" s="60"/>
      <c r="R82" s="22"/>
      <c r="S82" s="30"/>
    </row>
    <row r="83" spans="8:19" ht="18" customHeight="1" ns2:dyDescent="0.3">
      <c r="H83" s="60"/>
      <c r="Q83" s="60"/>
      <c r="R83" s="22"/>
      <c r="S83" s="30"/>
    </row>
    <row r="84" spans="8:19" ht="18" customHeight="1" ns2:dyDescent="0.3">
      <c r="H84" s="60"/>
      <c r="Q84" s="60"/>
      <c r="R84" s="22"/>
      <c r="S84" s="30"/>
    </row>
    <row r="85" spans="8:19" ht="18" customHeight="1" ns2:dyDescent="0.3">
      <c r="H85" s="60"/>
      <c r="Q85" s="60"/>
      <c r="R85" s="22"/>
      <c r="S85" s="30"/>
    </row>
    <row r="86" spans="8:19" ht="18" customHeight="1" ns2:dyDescent="0.3">
      <c r="H86" s="60"/>
      <c r="Q86" s="60"/>
      <c r="R86" s="22"/>
      <c r="S86" s="30"/>
    </row>
    <row r="87" spans="8:19" ht="18" customHeight="1" ns2:dyDescent="0.3">
      <c r="H87" s="60"/>
      <c r="Q87" s="60"/>
      <c r="R87" s="22"/>
      <c r="S87" s="30"/>
    </row>
    <row r="88" spans="8:19" ht="18" customHeight="1" ns2:dyDescent="0.3">
      <c r="H88" s="60"/>
      <c r="Q88" s="60"/>
      <c r="R88" s="22"/>
      <c r="S88" s="30"/>
    </row>
    <row r="89" spans="8:19" ht="18" customHeight="1" ns2:dyDescent="0.3">
      <c r="H89" s="60"/>
      <c r="Q89" s="60"/>
      <c r="R89" s="22"/>
      <c r="S89" s="30"/>
    </row>
    <row r="90" spans="8:19" ht="18" customHeight="1" ns2:dyDescent="0.3">
      <c r="H90" s="60"/>
      <c r="Q90" s="60"/>
      <c r="R90" s="22"/>
      <c r="S90" s="30"/>
    </row>
    <row r="91" spans="8:19" ht="18" customHeight="1" ns2:dyDescent="0.3">
      <c r="H91" s="60"/>
      <c r="Q91" s="60"/>
      <c r="R91" s="22"/>
      <c r="S91" s="30"/>
    </row>
    <row r="92" spans="8:19" ht="18" customHeight="1" ns2:dyDescent="0.3">
      <c r="H92" s="60"/>
      <c r="Q92" s="60"/>
      <c r="R92" s="22"/>
      <c r="S92" s="30"/>
    </row>
    <row r="93" spans="8:19" ht="18" customHeight="1" ns2:dyDescent="0.3">
      <c r="H93" s="60"/>
      <c r="Q93" s="60"/>
      <c r="R93" s="22"/>
      <c r="S93" s="30"/>
    </row>
    <row r="94" spans="8:19" ht="18" customHeight="1" ns2:dyDescent="0.3">
      <c r="H94" s="60"/>
      <c r="Q94" s="60"/>
      <c r="R94" s="22"/>
      <c r="S94" s="30"/>
    </row>
    <row r="95" spans="8:19" ht="18" customHeight="1" ns2:dyDescent="0.3">
      <c r="H95" s="60"/>
      <c r="Q95" s="60"/>
      <c r="R95" s="22"/>
      <c r="S95" s="30"/>
    </row>
    <row r="96" spans="8:19" ht="18" customHeight="1" ns2:dyDescent="0.3">
      <c r="H96" s="60"/>
      <c r="Q96" s="60"/>
      <c r="R96" s="22"/>
      <c r="S96" s="30"/>
    </row>
    <row r="97" spans="2:19" ht="18" customHeight="1" ns2:dyDescent="0.3">
      <c r="H97" s="60"/>
      <c r="Q97" s="60"/>
      <c r="S97" s="30"/>
    </row>
    <row r="98" spans="2:19" ht="18" customHeight="1" ns2:dyDescent="0.3">
      <c r="B98" s="135"/>
      <c r="C98" s="20"/>
      <c r="D98" s="20"/>
      <c r="E98" s="20"/>
      <c r="F98" s="20"/>
      <c r="G98" s="20"/>
      <c r="H98" s="60"/>
      <c r="I98" s="20"/>
      <c r="K98" s="20"/>
      <c r="L98" s="20"/>
      <c r="M98" s="20"/>
      <c r="N98" s="20"/>
      <c r="Q98" s="60"/>
      <c r="R98" s="20"/>
      <c r="S98" s="30"/>
    </row>
    <row r="99" spans="2:19" ht="18" customHeight="1" ns2:dyDescent="0.3">
      <c r="B99" s="135"/>
      <c r="C99" s="20"/>
      <c r="D99" s="20"/>
      <c r="E99" s="20"/>
      <c r="F99" s="20"/>
      <c r="G99" s="20"/>
      <c r="H99" s="60"/>
      <c r="I99" s="20"/>
      <c r="K99" s="20"/>
      <c r="L99" s="20"/>
      <c r="M99" s="20"/>
      <c r="N99" s="20"/>
      <c r="Q99" s="60"/>
      <c r="R99" s="20"/>
      <c r="S99" s="30"/>
    </row>
    <row r="100" spans="2:19" ht="18" customHeight="1" ns2:dyDescent="0.3">
      <c r="B100" s="135"/>
      <c r="C100" s="20"/>
      <c r="D100" s="20"/>
      <c r="E100" s="20"/>
      <c r="F100" s="20"/>
      <c r="G100" s="20"/>
      <c r="H100" s="60"/>
      <c r="I100" s="20"/>
      <c r="K100" s="20"/>
      <c r="L100" s="20"/>
      <c r="M100" s="20"/>
      <c r="N100" s="20"/>
      <c r="Q100" s="60"/>
      <c r="R100" s="20"/>
      <c r="S100" s="30"/>
    </row>
    <row r="101" spans="2:19" ht="18" customHeight="1" ns2:dyDescent="0.3">
      <c r="B101" s="135"/>
      <c r="C101" s="20"/>
      <c r="D101" s="20"/>
      <c r="E101" s="20"/>
      <c r="F101" s="20"/>
      <c r="G101" s="20"/>
      <c r="H101" s="60"/>
      <c r="I101" s="20"/>
      <c r="K101" s="20"/>
      <c r="L101" s="20"/>
      <c r="M101" s="20"/>
      <c r="N101" s="20"/>
      <c r="Q101" s="60"/>
      <c r="R101" s="20"/>
      <c r="S101" s="30"/>
    </row>
    <row r="102" spans="2:19" ht="18" customHeight="1" ns2:dyDescent="0.3">
      <c r="B102" s="135"/>
      <c r="C102" s="20"/>
      <c r="D102" s="20"/>
      <c r="E102" s="20"/>
      <c r="F102" s="20"/>
      <c r="G102" s="20"/>
      <c r="H102" s="60"/>
      <c r="I102" s="20"/>
      <c r="K102" s="20"/>
      <c r="L102" s="20"/>
      <c r="M102" s="20"/>
      <c r="N102" s="20"/>
      <c r="Q102" s="60"/>
      <c r="R102" s="20"/>
      <c r="S102" s="30"/>
    </row>
    <row r="103" spans="2:19" ht="18" customHeight="1" ns2:dyDescent="0.3">
      <c r="B103" s="135"/>
      <c r="C103" s="20"/>
      <c r="D103" s="20"/>
      <c r="E103" s="20"/>
      <c r="F103" s="20"/>
      <c r="G103" s="20"/>
      <c r="H103" s="60"/>
      <c r="I103" s="20"/>
      <c r="K103" s="20"/>
      <c r="L103" s="20"/>
      <c r="M103" s="20"/>
      <c r="N103" s="20"/>
      <c r="Q103" s="60"/>
      <c r="R103" s="20"/>
      <c r="S103" s="30"/>
    </row>
    <row r="104" spans="2:19" ht="18" customHeight="1" ns2:dyDescent="0.3">
      <c r="B104" s="135"/>
      <c r="C104" s="20"/>
      <c r="D104" s="20"/>
      <c r="E104" s="20"/>
      <c r="F104" s="20"/>
      <c r="G104" s="20"/>
      <c r="H104" s="60"/>
      <c r="I104" s="20"/>
      <c r="K104" s="20"/>
      <c r="L104" s="20"/>
      <c r="M104" s="20"/>
      <c r="N104" s="20"/>
      <c r="Q104" s="60"/>
      <c r="R104" s="20"/>
      <c r="S104" s="30"/>
    </row>
    <row r="105" spans="2:19" ht="18" customHeight="1" ns2:dyDescent="0.3">
      <c r="B105" s="135"/>
      <c r="C105" s="20"/>
      <c r="D105" s="20"/>
      <c r="E105" s="20"/>
      <c r="F105" s="20"/>
      <c r="G105" s="20"/>
      <c r="H105" s="60"/>
      <c r="I105" s="20"/>
      <c r="K105" s="20"/>
      <c r="L105" s="20"/>
      <c r="M105" s="20"/>
      <c r="N105" s="20"/>
      <c r="Q105" s="60"/>
      <c r="R105" s="20"/>
      <c r="S105" s="30"/>
    </row>
    <row r="106" spans="2:19" ht="18" customHeight="1" ns2:dyDescent="0.3">
      <c r="B106" s="135"/>
      <c r="C106" s="20"/>
      <c r="D106" s="20"/>
      <c r="E106" s="20"/>
      <c r="F106" s="20"/>
      <c r="G106" s="20"/>
      <c r="H106" s="60"/>
      <c r="I106" s="20"/>
      <c r="K106" s="20"/>
      <c r="L106" s="20"/>
      <c r="M106" s="20"/>
      <c r="N106" s="20"/>
      <c r="Q106" s="60"/>
      <c r="R106" s="20"/>
      <c r="S106" s="30"/>
    </row>
    <row r="107" spans="2:19" ht="18" customHeight="1" ns2:dyDescent="0.3">
      <c r="B107" s="135"/>
      <c r="C107" s="20"/>
      <c r="D107" s="20"/>
      <c r="E107" s="20"/>
      <c r="F107" s="20"/>
      <c r="G107" s="20"/>
      <c r="H107" s="60"/>
      <c r="I107" s="20"/>
      <c r="K107" s="20"/>
      <c r="L107" s="20"/>
      <c r="M107" s="20"/>
      <c r="N107" s="20"/>
      <c r="Q107" s="60"/>
      <c r="R107" s="20"/>
      <c r="S107" s="30"/>
    </row>
    <row r="108" spans="2:19" ht="18" customHeight="1" ns2:dyDescent="0.3">
      <c r="B108" s="135"/>
      <c r="C108" s="20"/>
      <c r="D108" s="20"/>
      <c r="E108" s="20"/>
      <c r="F108" s="20"/>
      <c r="G108" s="20"/>
      <c r="H108" s="60"/>
      <c r="I108" s="20"/>
      <c r="K108" s="20"/>
      <c r="L108" s="20"/>
      <c r="M108" s="20"/>
      <c r="N108" s="20"/>
      <c r="Q108" s="60"/>
      <c r="R108" s="20"/>
      <c r="S108" s="30"/>
    </row>
    <row r="109" spans="2:19" ht="18" customHeight="1" ns2:dyDescent="0.3">
      <c r="B109" s="135"/>
      <c r="C109" s="20"/>
      <c r="D109" s="20"/>
      <c r="E109" s="20"/>
      <c r="F109" s="20"/>
      <c r="G109" s="20"/>
      <c r="H109" s="60"/>
      <c r="I109" s="20"/>
      <c r="K109" s="20"/>
      <c r="L109" s="20"/>
      <c r="M109" s="20"/>
      <c r="N109" s="20"/>
      <c r="Q109" s="60"/>
      <c r="R109" s="20"/>
      <c r="S109" s="30"/>
    </row>
    <row r="110" spans="2:19" ht="18" customHeight="1" ns2:dyDescent="0.3">
      <c r="B110" s="135"/>
      <c r="C110" s="20"/>
      <c r="D110" s="20"/>
      <c r="E110" s="20"/>
      <c r="F110" s="20"/>
      <c r="G110" s="20"/>
      <c r="H110" s="60"/>
      <c r="I110" s="20"/>
      <c r="K110" s="20"/>
      <c r="L110" s="20"/>
      <c r="M110" s="20"/>
      <c r="N110" s="20"/>
      <c r="Q110" s="60"/>
      <c r="R110" s="20"/>
      <c r="S110" s="30"/>
    </row>
    <row r="111" spans="2:19" ht="18" customHeight="1" ns2:dyDescent="0.3">
      <c r="B111" s="135"/>
      <c r="C111" s="20"/>
      <c r="D111" s="20"/>
      <c r="E111" s="20"/>
      <c r="F111" s="20"/>
      <c r="G111" s="20"/>
      <c r="H111" s="60"/>
      <c r="I111" s="20"/>
      <c r="K111" s="20"/>
      <c r="L111" s="20"/>
      <c r="M111" s="20"/>
      <c r="N111" s="20"/>
      <c r="Q111" s="60"/>
      <c r="R111" s="20"/>
      <c r="S111" s="30"/>
    </row>
    <row r="112" spans="2:19" ht="18" customHeight="1" ns2:dyDescent="0.3">
      <c r="B112" s="135"/>
      <c r="C112" s="20"/>
      <c r="D112" s="20"/>
      <c r="E112" s="20"/>
      <c r="F112" s="20"/>
      <c r="G112" s="20"/>
      <c r="H112" s="60"/>
      <c r="I112" s="20"/>
      <c r="K112" s="20"/>
      <c r="L112" s="20"/>
      <c r="M112" s="20"/>
      <c r="N112" s="20"/>
      <c r="Q112" s="60"/>
      <c r="R112" s="20"/>
      <c r="S112" s="30"/>
    </row>
    <row r="113" spans="2:19" ht="18" customHeight="1" ns2:dyDescent="0.3">
      <c r="B113" s="135"/>
      <c r="C113" s="20"/>
      <c r="D113" s="20"/>
      <c r="E113" s="20"/>
      <c r="F113" s="20"/>
      <c r="G113" s="20"/>
      <c r="H113" s="60"/>
      <c r="I113" s="20"/>
      <c r="K113" s="20"/>
      <c r="L113" s="20"/>
      <c r="M113" s="20"/>
      <c r="N113" s="20"/>
      <c r="Q113" s="60"/>
      <c r="R113" s="20"/>
      <c r="S113" s="30"/>
    </row>
    <row r="114" spans="2:19" ht="18" customHeight="1" ns2:dyDescent="0.3">
      <c r="B114" s="135"/>
      <c r="C114" s="20"/>
      <c r="D114" s="20"/>
      <c r="E114" s="20"/>
      <c r="F114" s="20"/>
      <c r="G114" s="20"/>
      <c r="H114" s="60"/>
      <c r="I114" s="20"/>
      <c r="K114" s="20"/>
      <c r="L114" s="20"/>
      <c r="M114" s="20"/>
      <c r="N114" s="20"/>
      <c r="Q114" s="60"/>
      <c r="R114" s="20"/>
      <c r="S114" s="30"/>
    </row>
    <row r="115" spans="2:19" ht="18" customHeight="1" ns2:dyDescent="0.3">
      <c r="B115" s="135"/>
      <c r="C115" s="20"/>
      <c r="D115" s="20"/>
      <c r="E115" s="20"/>
      <c r="F115" s="20"/>
      <c r="G115" s="20"/>
      <c r="H115" s="60"/>
      <c r="I115" s="20"/>
      <c r="K115" s="20"/>
      <c r="L115" s="20"/>
      <c r="M115" s="20"/>
      <c r="N115" s="20"/>
      <c r="Q115" s="60"/>
      <c r="R115" s="20"/>
      <c r="S115" s="30"/>
    </row>
    <row r="116" spans="2:19" ht="18" customHeight="1" ns2:dyDescent="0.3">
      <c r="B116" s="135"/>
      <c r="C116" s="20"/>
      <c r="D116" s="20"/>
      <c r="E116" s="20"/>
      <c r="F116" s="20"/>
      <c r="G116" s="20"/>
      <c r="H116" s="60"/>
      <c r="I116" s="20"/>
      <c r="K116" s="20"/>
      <c r="L116" s="20"/>
      <c r="M116" s="20"/>
      <c r="N116" s="20"/>
      <c r="Q116" s="60"/>
      <c r="R116" s="20"/>
      <c r="S116" s="30"/>
    </row>
    <row r="117" spans="2:19" ht="18" customHeight="1" ns2:dyDescent="0.3">
      <c r="B117" s="135"/>
      <c r="C117" s="20"/>
      <c r="D117" s="20"/>
      <c r="E117" s="20"/>
      <c r="F117" s="20"/>
      <c r="G117" s="20"/>
      <c r="H117" s="60"/>
      <c r="I117" s="20"/>
      <c r="K117" s="20"/>
      <c r="L117" s="20"/>
      <c r="M117" s="20"/>
      <c r="N117" s="20"/>
      <c r="Q117" s="60"/>
      <c r="R117" s="20"/>
      <c r="S117" s="30"/>
    </row>
    <row r="118" spans="2:19" ht="18" customHeight="1" ns2:dyDescent="0.3">
      <c r="B118" s="135"/>
      <c r="C118" s="20"/>
      <c r="D118" s="20"/>
      <c r="E118" s="20"/>
      <c r="F118" s="20"/>
      <c r="G118" s="20"/>
      <c r="H118" s="60"/>
      <c r="I118" s="20"/>
      <c r="K118" s="20"/>
      <c r="L118" s="20"/>
      <c r="M118" s="20"/>
      <c r="N118" s="20"/>
      <c r="Q118" s="60"/>
      <c r="R118" s="20"/>
      <c r="S118" s="30"/>
    </row>
    <row r="119" spans="2:19" ht="18" customHeight="1" ns2:dyDescent="0.3">
      <c r="B119" s="135"/>
      <c r="C119" s="20"/>
      <c r="D119" s="20"/>
      <c r="E119" s="20"/>
      <c r="F119" s="20"/>
      <c r="G119" s="20"/>
      <c r="H119" s="60"/>
      <c r="I119" s="20"/>
      <c r="K119" s="20"/>
      <c r="L119" s="20"/>
      <c r="M119" s="20"/>
      <c r="N119" s="20"/>
      <c r="Q119" s="60"/>
      <c r="R119" s="20"/>
      <c r="S119" s="30"/>
    </row>
    <row r="120" spans="2:19" ht="18" customHeight="1" ns2:dyDescent="0.3">
      <c r="B120" s="135"/>
      <c r="C120" s="20"/>
      <c r="D120" s="20"/>
      <c r="E120" s="20"/>
      <c r="F120" s="20"/>
      <c r="G120" s="20"/>
      <c r="H120" s="60"/>
      <c r="I120" s="20"/>
      <c r="K120" s="20"/>
      <c r="L120" s="20"/>
      <c r="M120" s="20"/>
      <c r="N120" s="20"/>
      <c r="Q120" s="60"/>
      <c r="R120" s="20"/>
      <c r="S120" s="30"/>
    </row>
    <row r="121" spans="2:19" ht="18" customHeight="1" ns2:dyDescent="0.3">
      <c r="B121" s="135"/>
      <c r="C121" s="20"/>
      <c r="D121" s="20"/>
      <c r="E121" s="20"/>
      <c r="F121" s="20"/>
      <c r="G121" s="20"/>
      <c r="H121" s="60"/>
      <c r="I121" s="20"/>
      <c r="K121" s="20"/>
      <c r="L121" s="20"/>
      <c r="M121" s="20"/>
      <c r="N121" s="20"/>
      <c r="Q121" s="60"/>
      <c r="R121" s="20"/>
      <c r="S121" s="30"/>
    </row>
    <row r="122" spans="2:19" ht="18" customHeight="1" ns2:dyDescent="0.3">
      <c r="B122" s="135"/>
      <c r="C122" s="20"/>
      <c r="D122" s="20"/>
      <c r="E122" s="20"/>
      <c r="F122" s="20"/>
      <c r="G122" s="20"/>
      <c r="H122" s="60"/>
      <c r="I122" s="20"/>
      <c r="K122" s="20"/>
      <c r="L122" s="20"/>
      <c r="M122" s="20"/>
      <c r="N122" s="20"/>
      <c r="Q122" s="60"/>
      <c r="R122" s="20"/>
      <c r="S122" s="30"/>
    </row>
    <row r="123" spans="2:19" ht="18" customHeight="1" ns2:dyDescent="0.3">
      <c r="B123" s="135"/>
      <c r="C123" s="20"/>
      <c r="D123" s="20"/>
      <c r="E123" s="20"/>
      <c r="F123" s="20"/>
      <c r="G123" s="20"/>
      <c r="H123" s="60"/>
      <c r="I123" s="20"/>
      <c r="K123" s="20"/>
      <c r="L123" s="20"/>
      <c r="M123" s="20"/>
      <c r="N123" s="20"/>
      <c r="Q123" s="60"/>
      <c r="R123" s="20"/>
      <c r="S123" s="30"/>
    </row>
    <row r="124" spans="2:19" ht="18" customHeight="1" ns2:dyDescent="0.3">
      <c r="B124" s="135"/>
      <c r="C124" s="20"/>
      <c r="D124" s="20"/>
      <c r="E124" s="20"/>
      <c r="F124" s="20"/>
      <c r="G124" s="20"/>
      <c r="H124" s="60"/>
      <c r="I124" s="20"/>
      <c r="K124" s="20"/>
      <c r="L124" s="20"/>
      <c r="M124" s="20"/>
      <c r="N124" s="20"/>
      <c r="Q124" s="60"/>
      <c r="R124" s="20"/>
      <c r="S124" s="30"/>
    </row>
    <row r="125" spans="2:19" ht="18" customHeight="1" ns2:dyDescent="0.3">
      <c r="B125" s="135"/>
      <c r="C125" s="20"/>
      <c r="D125" s="20"/>
      <c r="E125" s="20"/>
      <c r="F125" s="20"/>
      <c r="G125" s="20"/>
      <c r="H125" s="60"/>
      <c r="I125" s="20"/>
      <c r="K125" s="20"/>
      <c r="L125" s="20"/>
      <c r="M125" s="20"/>
      <c r="N125" s="20"/>
      <c r="Q125" s="60"/>
      <c r="R125" s="20"/>
      <c r="S125" s="30"/>
    </row>
    <row r="126" spans="2:19" ht="18" customHeight="1" ns2:dyDescent="0.3">
      <c r="B126" s="135"/>
      <c r="C126" s="20"/>
      <c r="D126" s="20"/>
      <c r="E126" s="20"/>
      <c r="F126" s="20"/>
      <c r="G126" s="20"/>
      <c r="H126" s="60"/>
      <c r="I126" s="20"/>
      <c r="K126" s="20"/>
      <c r="L126" s="20"/>
      <c r="M126" s="20"/>
      <c r="N126" s="20"/>
      <c r="Q126" s="60"/>
      <c r="R126" s="20"/>
      <c r="S126" s="30"/>
    </row>
    <row r="127" spans="2:19" ht="18" customHeight="1" ns2:dyDescent="0.3">
      <c r="B127" s="135"/>
      <c r="C127" s="20"/>
      <c r="D127" s="20"/>
      <c r="E127" s="20"/>
      <c r="F127" s="20"/>
      <c r="G127" s="20"/>
      <c r="H127" s="60"/>
      <c r="I127" s="20"/>
      <c r="K127" s="20"/>
      <c r="L127" s="20"/>
      <c r="M127" s="20"/>
      <c r="N127" s="20"/>
      <c r="Q127" s="60"/>
      <c r="R127" s="20"/>
      <c r="S127" s="30"/>
    </row>
    <row r="128" spans="2:19" ht="18" customHeight="1" ns2:dyDescent="0.3">
      <c r="B128" s="135"/>
      <c r="C128" s="20"/>
      <c r="D128" s="20"/>
      <c r="E128" s="20"/>
      <c r="F128" s="20"/>
      <c r="G128" s="20"/>
      <c r="H128" s="60"/>
      <c r="I128" s="20"/>
      <c r="K128" s="20"/>
      <c r="L128" s="20"/>
      <c r="M128" s="20"/>
      <c r="N128" s="20"/>
      <c r="Q128" s="60"/>
      <c r="R128" s="20"/>
      <c r="S128" s="30"/>
    </row>
    <row r="129" spans="2:19" ht="18" customHeight="1" ns2:dyDescent="0.3">
      <c r="B129" s="135"/>
      <c r="C129" s="20"/>
      <c r="D129" s="20"/>
      <c r="E129" s="20"/>
      <c r="F129" s="20"/>
      <c r="G129" s="20"/>
      <c r="H129" s="60"/>
      <c r="I129" s="20"/>
      <c r="K129" s="20"/>
      <c r="L129" s="20"/>
      <c r="M129" s="20"/>
      <c r="N129" s="20"/>
      <c r="Q129" s="60"/>
      <c r="R129" s="20"/>
      <c r="S129" s="30"/>
    </row>
    <row r="130" spans="2:19" ht="18" customHeight="1" ns2:dyDescent="0.3">
      <c r="B130" s="135"/>
      <c r="C130" s="20"/>
      <c r="D130" s="20"/>
      <c r="E130" s="20"/>
      <c r="F130" s="20"/>
      <c r="G130" s="20"/>
      <c r="H130" s="60"/>
      <c r="I130" s="20"/>
      <c r="K130" s="20"/>
      <c r="L130" s="20"/>
      <c r="M130" s="20"/>
      <c r="N130" s="20"/>
      <c r="Q130" s="60"/>
      <c r="R130" s="20"/>
      <c r="S130" s="30"/>
    </row>
    <row r="131" spans="2:19" ht="18" customHeight="1" ns2:dyDescent="0.3">
      <c r="B131" s="135"/>
      <c r="C131" s="20"/>
      <c r="D131" s="20"/>
      <c r="E131" s="20"/>
      <c r="F131" s="20"/>
      <c r="G131" s="20"/>
      <c r="H131" s="60"/>
      <c r="I131" s="20"/>
      <c r="K131" s="20"/>
      <c r="L131" s="20"/>
      <c r="M131" s="20"/>
      <c r="N131" s="20"/>
      <c r="Q131" s="60"/>
      <c r="R131" s="20"/>
      <c r="S131" s="30"/>
    </row>
    <row r="132" spans="2:19" ht="18" customHeight="1" ns2:dyDescent="0.3">
      <c r="B132" s="135"/>
      <c r="C132" s="20"/>
      <c r="D132" s="20"/>
      <c r="E132" s="20"/>
      <c r="F132" s="20"/>
      <c r="G132" s="20"/>
      <c r="H132" s="60"/>
      <c r="I132" s="20"/>
      <c r="K132" s="20"/>
      <c r="L132" s="20"/>
      <c r="M132" s="20"/>
      <c r="N132" s="20"/>
      <c r="Q132" s="60"/>
      <c r="R132" s="20"/>
      <c r="S132" s="30"/>
    </row>
    <row r="133" spans="2:19" ht="18" customHeight="1" ns2:dyDescent="0.3">
      <c r="B133" s="135"/>
      <c r="C133" s="20"/>
      <c r="D133" s="20"/>
      <c r="E133" s="20"/>
      <c r="F133" s="20"/>
      <c r="G133" s="20"/>
      <c r="H133" s="60"/>
      <c r="I133" s="20"/>
      <c r="K133" s="20"/>
      <c r="L133" s="20"/>
      <c r="M133" s="20"/>
      <c r="N133" s="20"/>
      <c r="Q133" s="60"/>
      <c r="R133" s="20"/>
      <c r="S133" s="30"/>
    </row>
    <row r="134" spans="2:19" ht="18" customHeight="1" ns2:dyDescent="0.3">
      <c r="B134" s="135"/>
      <c r="C134" s="20"/>
      <c r="D134" s="20"/>
      <c r="E134" s="20"/>
      <c r="F134" s="20"/>
      <c r="G134" s="20"/>
      <c r="H134" s="60"/>
      <c r="I134" s="20"/>
      <c r="K134" s="20"/>
      <c r="L134" s="20"/>
      <c r="M134" s="20"/>
      <c r="N134" s="20"/>
      <c r="Q134" s="60"/>
      <c r="R134" s="20"/>
      <c r="S134" s="30"/>
    </row>
    <row r="135" spans="2:19" ht="18" customHeight="1" ns2:dyDescent="0.3">
      <c r="B135" s="135"/>
      <c r="C135" s="20"/>
      <c r="D135" s="20"/>
      <c r="E135" s="20"/>
      <c r="F135" s="20"/>
      <c r="G135" s="20"/>
      <c r="H135" s="60"/>
      <c r="I135" s="20"/>
      <c r="K135" s="20"/>
      <c r="L135" s="20"/>
      <c r="M135" s="20"/>
      <c r="N135" s="20"/>
      <c r="Q135" s="60"/>
      <c r="R135" s="20"/>
      <c r="S135" s="30"/>
    </row>
    <row r="136" spans="2:19" ht="18" customHeight="1" ns2:dyDescent="0.3">
      <c r="B136" s="135"/>
      <c r="C136" s="20"/>
      <c r="D136" s="20"/>
      <c r="E136" s="20"/>
      <c r="F136" s="20"/>
      <c r="G136" s="20"/>
      <c r="H136" s="60"/>
      <c r="I136" s="20"/>
      <c r="K136" s="20"/>
      <c r="L136" s="20"/>
      <c r="M136" s="20"/>
      <c r="N136" s="20"/>
      <c r="Q136" s="60"/>
      <c r="R136" s="20"/>
      <c r="S136" s="30"/>
    </row>
    <row r="137" spans="2:19" ht="18" customHeight="1" ns2:dyDescent="0.3">
      <c r="B137" s="135"/>
      <c r="C137" s="20"/>
      <c r="D137" s="20"/>
      <c r="E137" s="20"/>
      <c r="F137" s="20"/>
      <c r="G137" s="20"/>
      <c r="H137" s="60"/>
      <c r="I137" s="20"/>
      <c r="K137" s="20"/>
      <c r="L137" s="20"/>
      <c r="M137" s="20"/>
      <c r="N137" s="20"/>
      <c r="Q137" s="60"/>
      <c r="R137" s="20"/>
      <c r="S137" s="30"/>
    </row>
    <row r="138" spans="2:19" ht="18" customHeight="1" ns2:dyDescent="0.3">
      <c r="B138" s="135"/>
      <c r="C138" s="20"/>
      <c r="D138" s="20"/>
      <c r="E138" s="20"/>
      <c r="F138" s="20"/>
      <c r="G138" s="20"/>
      <c r="H138" s="60"/>
      <c r="I138" s="20"/>
      <c r="K138" s="20"/>
      <c r="L138" s="20"/>
      <c r="M138" s="20"/>
      <c r="N138" s="20"/>
      <c r="Q138" s="60"/>
      <c r="R138" s="20"/>
      <c r="S138" s="30"/>
    </row>
    <row r="139" spans="2:19" ht="18" customHeight="1" ns2:dyDescent="0.3">
      <c r="B139" s="135"/>
      <c r="C139" s="20"/>
      <c r="D139" s="20"/>
      <c r="E139" s="20"/>
      <c r="F139" s="20"/>
      <c r="G139" s="20"/>
      <c r="H139" s="60"/>
      <c r="I139" s="20"/>
      <c r="K139" s="20"/>
      <c r="L139" s="20"/>
      <c r="M139" s="20"/>
      <c r="N139" s="20"/>
      <c r="Q139" s="60"/>
      <c r="R139" s="20"/>
      <c r="S139" s="30"/>
    </row>
    <row r="140" spans="2:19" ht="18" customHeight="1" ns2:dyDescent="0.3">
      <c r="B140" s="135"/>
      <c r="C140" s="20"/>
      <c r="D140" s="20"/>
      <c r="E140" s="20"/>
      <c r="F140" s="20"/>
      <c r="G140" s="20"/>
      <c r="H140" s="60"/>
      <c r="I140" s="20"/>
      <c r="K140" s="20"/>
      <c r="L140" s="20"/>
      <c r="M140" s="20"/>
      <c r="N140" s="20"/>
      <c r="Q140" s="60"/>
      <c r="R140" s="20"/>
      <c r="S140" s="30"/>
    </row>
    <row r="141" spans="2:19" ht="18" customHeight="1" ns2:dyDescent="0.3">
      <c r="B141" s="135"/>
      <c r="C141" s="20"/>
      <c r="D141" s="20"/>
      <c r="E141" s="20"/>
      <c r="F141" s="20"/>
      <c r="G141" s="20"/>
      <c r="H141" s="60"/>
      <c r="I141" s="20"/>
      <c r="K141" s="20"/>
      <c r="L141" s="20"/>
      <c r="M141" s="20"/>
      <c r="N141" s="20"/>
      <c r="Q141" s="60"/>
      <c r="R141" s="20"/>
      <c r="S141" s="30"/>
    </row>
    <row r="142" spans="2:19" ht="18" customHeight="1" ns2:dyDescent="0.3">
      <c r="B142" s="135"/>
      <c r="C142" s="20"/>
      <c r="D142" s="20"/>
      <c r="E142" s="20"/>
      <c r="F142" s="20"/>
      <c r="G142" s="20"/>
      <c r="H142" s="60"/>
      <c r="I142" s="20"/>
      <c r="K142" s="20"/>
      <c r="L142" s="20"/>
      <c r="M142" s="20"/>
      <c r="N142" s="20"/>
      <c r="Q142" s="60"/>
      <c r="R142" s="20"/>
      <c r="S142" s="30"/>
    </row>
    <row r="143" spans="2:19" ht="18" customHeight="1" ns2:dyDescent="0.3">
      <c r="B143" s="135"/>
      <c r="C143" s="20"/>
      <c r="D143" s="20"/>
      <c r="E143" s="20"/>
      <c r="F143" s="20"/>
      <c r="G143" s="20"/>
      <c r="H143" s="60"/>
      <c r="I143" s="20"/>
      <c r="K143" s="20"/>
      <c r="L143" s="20"/>
      <c r="M143" s="20"/>
      <c r="N143" s="20"/>
      <c r="Q143" s="60"/>
      <c r="R143" s="20"/>
      <c r="S143" s="30"/>
    </row>
    <row r="144" spans="2:19" ht="18" customHeight="1" ns2:dyDescent="0.3">
      <c r="B144" s="135"/>
      <c r="C144" s="20"/>
      <c r="D144" s="20"/>
      <c r="E144" s="20"/>
      <c r="F144" s="20"/>
      <c r="G144" s="20"/>
      <c r="H144" s="60"/>
      <c r="I144" s="20"/>
      <c r="K144" s="20"/>
      <c r="L144" s="20"/>
      <c r="M144" s="20"/>
      <c r="N144" s="20"/>
      <c r="Q144" s="60"/>
      <c r="R144" s="20"/>
      <c r="S144" s="30"/>
    </row>
    <row r="145" spans="2:19" ht="18" customHeight="1" ns2:dyDescent="0.3">
      <c r="B145" s="135"/>
      <c r="C145" s="20"/>
      <c r="D145" s="20"/>
      <c r="E145" s="20"/>
      <c r="F145" s="20"/>
      <c r="G145" s="20"/>
      <c r="H145" s="60"/>
      <c r="I145" s="20"/>
      <c r="K145" s="20"/>
      <c r="L145" s="20"/>
      <c r="M145" s="20"/>
      <c r="N145" s="20"/>
      <c r="Q145" s="60"/>
      <c r="R145" s="20"/>
      <c r="S145" s="30"/>
    </row>
    <row r="146" spans="2:19" ht="18" customHeight="1" ns2:dyDescent="0.3">
      <c r="B146" s="135"/>
      <c r="C146" s="20"/>
      <c r="D146" s="20"/>
      <c r="E146" s="20"/>
      <c r="F146" s="20"/>
      <c r="G146" s="20"/>
      <c r="H146" s="60"/>
      <c r="I146" s="20"/>
      <c r="K146" s="20"/>
      <c r="L146" s="20"/>
      <c r="M146" s="20"/>
      <c r="N146" s="20"/>
      <c r="Q146" s="60"/>
      <c r="R146" s="20"/>
      <c r="S146" s="30"/>
    </row>
    <row r="147" spans="2:19" ht="18" customHeight="1" ns2:dyDescent="0.3">
      <c r="B147" s="135"/>
      <c r="C147" s="20"/>
      <c r="D147" s="20"/>
      <c r="E147" s="20"/>
      <c r="F147" s="20"/>
      <c r="G147" s="20"/>
      <c r="H147" s="60"/>
      <c r="I147" s="20"/>
      <c r="K147" s="20"/>
      <c r="L147" s="20"/>
      <c r="M147" s="20"/>
      <c r="N147" s="20"/>
      <c r="Q147" s="60"/>
      <c r="R147" s="20"/>
      <c r="S147" s="30"/>
    </row>
    <row r="148" spans="2:19" ht="18" customHeight="1" ns2:dyDescent="0.3">
      <c r="B148" s="135"/>
      <c r="C148" s="20"/>
      <c r="D148" s="20"/>
      <c r="E148" s="20"/>
      <c r="F148" s="20"/>
      <c r="G148" s="20"/>
      <c r="H148" s="60"/>
      <c r="I148" s="20"/>
      <c r="K148" s="20"/>
      <c r="L148" s="20"/>
      <c r="M148" s="20"/>
      <c r="N148" s="20"/>
      <c r="Q148" s="60"/>
      <c r="R148" s="20"/>
      <c r="S148" s="30"/>
    </row>
    <row r="149" spans="2:19" ht="18" customHeight="1" ns2:dyDescent="0.3">
      <c r="B149" s="135"/>
      <c r="C149" s="20"/>
      <c r="D149" s="20"/>
      <c r="E149" s="20"/>
      <c r="F149" s="20"/>
      <c r="G149" s="20"/>
      <c r="H149" s="60"/>
      <c r="I149" s="20"/>
      <c r="K149" s="20"/>
      <c r="L149" s="20"/>
      <c r="M149" s="20"/>
      <c r="N149" s="20"/>
      <c r="Q149" s="60"/>
      <c r="R149" s="20"/>
      <c r="S149" s="30"/>
    </row>
    <row r="150" spans="2:19" ht="18" customHeight="1" ns2:dyDescent="0.3">
      <c r="B150" s="135"/>
      <c r="C150" s="20"/>
      <c r="D150" s="20"/>
      <c r="E150" s="20"/>
      <c r="F150" s="20"/>
      <c r="G150" s="20"/>
      <c r="H150" s="60"/>
      <c r="I150" s="20"/>
      <c r="K150" s="20"/>
      <c r="L150" s="20"/>
      <c r="M150" s="20"/>
      <c r="N150" s="20"/>
      <c r="Q150" s="60"/>
      <c r="R150" s="20"/>
      <c r="S150" s="30"/>
    </row>
    <row r="151" spans="2:19" ht="18" customHeight="1" ns2:dyDescent="0.3">
      <c r="B151" s="135"/>
      <c r="C151" s="20"/>
      <c r="D151" s="20"/>
      <c r="E151" s="20"/>
      <c r="F151" s="20"/>
      <c r="G151" s="20"/>
      <c r="H151" s="60"/>
      <c r="I151" s="20"/>
      <c r="K151" s="20"/>
      <c r="L151" s="20"/>
      <c r="M151" s="20"/>
      <c r="N151" s="20"/>
      <c r="Q151" s="60"/>
      <c r="R151" s="20"/>
      <c r="S151" s="30"/>
    </row>
    <row r="152" spans="2:19" ht="18" customHeight="1" ns2:dyDescent="0.3">
      <c r="B152" s="135"/>
      <c r="C152" s="20"/>
      <c r="D152" s="20"/>
      <c r="E152" s="20"/>
      <c r="F152" s="20"/>
      <c r="G152" s="20"/>
      <c r="H152" s="60"/>
      <c r="I152" s="20"/>
      <c r="K152" s="20"/>
      <c r="L152" s="20"/>
      <c r="M152" s="20"/>
      <c r="N152" s="20"/>
      <c r="Q152" s="60"/>
      <c r="R152" s="20"/>
      <c r="S152" s="30"/>
    </row>
    <row r="153" spans="2:19" ht="18" customHeight="1" ns2:dyDescent="0.3">
      <c r="B153" s="135"/>
      <c r="C153" s="20"/>
      <c r="D153" s="20"/>
      <c r="E153" s="20"/>
      <c r="F153" s="20"/>
      <c r="G153" s="20"/>
      <c r="H153" s="60"/>
      <c r="I153" s="20"/>
      <c r="K153" s="20"/>
      <c r="L153" s="20"/>
      <c r="M153" s="20"/>
      <c r="N153" s="20"/>
      <c r="Q153" s="60"/>
      <c r="R153" s="20"/>
      <c r="S153" s="30"/>
    </row>
    <row r="154" spans="2:19" ht="18" customHeight="1" ns2:dyDescent="0.3">
      <c r="B154" s="135"/>
      <c r="C154" s="20"/>
      <c r="D154" s="20"/>
      <c r="E154" s="20"/>
      <c r="F154" s="20"/>
      <c r="G154" s="20"/>
      <c r="H154" s="60"/>
      <c r="I154" s="20"/>
      <c r="K154" s="20"/>
      <c r="L154" s="20"/>
      <c r="M154" s="20"/>
      <c r="N154" s="20"/>
      <c r="Q154" s="60"/>
      <c r="R154" s="20"/>
      <c r="S154" s="30"/>
    </row>
    <row r="155" spans="2:19" ht="18" customHeight="1" ns2:dyDescent="0.3">
      <c r="B155" s="135"/>
      <c r="C155" s="20"/>
      <c r="D155" s="20"/>
      <c r="E155" s="20"/>
      <c r="F155" s="20"/>
      <c r="G155" s="20"/>
      <c r="H155" s="60"/>
      <c r="I155" s="20"/>
      <c r="K155" s="20"/>
      <c r="L155" s="20"/>
      <c r="M155" s="20"/>
      <c r="N155" s="20"/>
      <c r="Q155" s="60"/>
      <c r="R155" s="20"/>
      <c r="S155" s="30"/>
    </row>
    <row r="156" spans="2:19" ht="18" customHeight="1" ns2:dyDescent="0.3">
      <c r="B156" s="135"/>
      <c r="C156" s="20"/>
      <c r="D156" s="20"/>
      <c r="E156" s="20"/>
      <c r="F156" s="20"/>
      <c r="G156" s="20"/>
      <c r="H156" s="60"/>
      <c r="I156" s="20"/>
      <c r="N156" s="20"/>
      <c r="Q156" s="60"/>
      <c r="R156" s="20"/>
      <c r="S156" s="30"/>
    </row>
    <row r="157" spans="2:19" ht="18" customHeight="1" ns2:dyDescent="0.3">
      <c r="B157" s="135"/>
      <c r="C157" s="20"/>
      <c r="D157" s="20"/>
      <c r="E157" s="20"/>
      <c r="F157" s="20"/>
      <c r="G157" s="20"/>
      <c r="H157" s="60"/>
      <c r="I157" s="20"/>
      <c r="N157" s="20"/>
      <c r="Q157" s="60"/>
      <c r="R157" s="20"/>
      <c r="S157" s="30"/>
    </row>
    <row r="158" spans="2:19" ht="18" customHeight="1" ns2:dyDescent="0.3">
      <c r="B158" s="135"/>
      <c r="C158" s="20"/>
      <c r="D158" s="20"/>
      <c r="E158" s="20"/>
      <c r="F158" s="20"/>
      <c r="G158" s="20"/>
      <c r="H158" s="60"/>
      <c r="I158" s="20"/>
      <c r="N158" s="20"/>
      <c r="Q158" s="60"/>
      <c r="R158" s="20"/>
      <c r="S158" s="30"/>
    </row>
    <row r="159" spans="2:19" ht="18" customHeight="1" ns2:dyDescent="0.3">
      <c r="B159" s="135"/>
      <c r="C159" s="20"/>
      <c r="D159" s="20"/>
      <c r="E159" s="20"/>
      <c r="F159" s="20"/>
      <c r="G159" s="20"/>
      <c r="H159" s="60"/>
      <c r="I159" s="20"/>
      <c r="N159" s="20"/>
      <c r="Q159" s="60"/>
      <c r="R159" s="20"/>
      <c r="S159" s="30"/>
    </row>
    <row r="160" spans="2:19" ht="18" customHeight="1" ns2:dyDescent="0.3">
      <c r="B160" s="135"/>
      <c r="C160" s="20"/>
      <c r="D160" s="20"/>
      <c r="E160" s="20"/>
      <c r="F160" s="20"/>
      <c r="G160" s="20"/>
      <c r="H160" s="60"/>
      <c r="I160" s="20"/>
      <c r="N160" s="20"/>
      <c r="Q160" s="60"/>
      <c r="R160" s="20"/>
      <c r="S160" s="30"/>
    </row>
    <row r="161" spans="2:19" ht="18" customHeight="1" ns2:dyDescent="0.3">
      <c r="B161" s="135"/>
      <c r="C161" s="20"/>
      <c r="D161" s="20"/>
      <c r="E161" s="20"/>
      <c r="F161" s="20"/>
      <c r="G161" s="20"/>
      <c r="H161" s="60"/>
      <c r="I161" s="20"/>
      <c r="N161" s="20"/>
      <c r="Q161" s="60"/>
      <c r="R161" s="20"/>
      <c r="S161" s="30"/>
    </row>
    <row r="162" spans="2:19" ht="18" customHeight="1" ns2:dyDescent="0.3">
      <c r="B162" s="135"/>
      <c r="C162" s="20"/>
      <c r="D162" s="20"/>
      <c r="E162" s="20"/>
      <c r="F162" s="20"/>
      <c r="G162" s="20"/>
      <c r="H162" s="60"/>
      <c r="I162" s="20"/>
      <c r="N162" s="20"/>
      <c r="Q162" s="60"/>
      <c r="R162" s="20"/>
      <c r="S162" s="30"/>
    </row>
    <row r="163" spans="2:19" ht="18" customHeight="1" ns2:dyDescent="0.3">
      <c r="B163" s="135"/>
      <c r="C163" s="20"/>
      <c r="D163" s="20"/>
      <c r="E163" s="20"/>
      <c r="F163" s="20"/>
      <c r="G163" s="20"/>
      <c r="H163" s="60"/>
      <c r="I163" s="20"/>
      <c r="N163" s="20"/>
      <c r="Q163" s="60"/>
      <c r="R163" s="20"/>
      <c r="S163" s="30"/>
    </row>
    <row r="164" spans="2:19" ht="18" customHeight="1" ns2:dyDescent="0.3">
      <c r="B164" s="135"/>
      <c r="C164" s="20"/>
      <c r="D164" s="20"/>
      <c r="E164" s="20"/>
      <c r="F164" s="20"/>
      <c r="G164" s="20"/>
      <c r="H164" s="60"/>
      <c r="I164" s="20"/>
      <c r="N164" s="20"/>
      <c r="Q164" s="60"/>
      <c r="R164" s="20"/>
      <c r="S164" s="30"/>
    </row>
    <row r="165" spans="2:19" ht="18" customHeight="1" ns2:dyDescent="0.3">
      <c r="B165" s="135"/>
      <c r="C165" s="20"/>
      <c r="D165" s="20"/>
      <c r="E165" s="20"/>
      <c r="F165" s="20"/>
      <c r="G165" s="20"/>
      <c r="H165" s="60"/>
      <c r="I165" s="20"/>
      <c r="N165" s="20"/>
      <c r="Q165" s="60"/>
      <c r="R165" s="20"/>
      <c r="S165" s="30"/>
    </row>
    <row r="166" spans="2:19" ht="18" customHeight="1" ns2:dyDescent="0.3">
      <c r="B166" s="135"/>
      <c r="C166" s="20"/>
      <c r="D166" s="20"/>
      <c r="E166" s="20"/>
      <c r="F166" s="20"/>
      <c r="G166" s="20"/>
      <c r="H166" s="60"/>
      <c r="I166" s="20"/>
      <c r="N166" s="20"/>
      <c r="Q166" s="60"/>
      <c r="R166" s="20"/>
      <c r="S166" s="30"/>
    </row>
    <row r="167" spans="2:19" ht="18" customHeight="1" ns2:dyDescent="0.3">
      <c r="B167" s="135"/>
      <c r="C167" s="20"/>
      <c r="D167" s="20"/>
      <c r="E167" s="20"/>
      <c r="F167" s="20"/>
      <c r="G167" s="20"/>
      <c r="H167" s="60"/>
      <c r="I167" s="20"/>
      <c r="N167" s="20"/>
      <c r="Q167" s="60"/>
      <c r="R167" s="20"/>
      <c r="S167" s="30"/>
    </row>
    <row r="168" spans="2:19" ht="18" customHeight="1" ns2:dyDescent="0.3">
      <c r="B168" s="135"/>
      <c r="C168" s="20"/>
      <c r="D168" s="20"/>
      <c r="E168" s="20"/>
      <c r="F168" s="20"/>
      <c r="G168" s="20"/>
      <c r="H168" s="60"/>
      <c r="I168" s="20"/>
      <c r="N168" s="20"/>
      <c r="Q168" s="60"/>
      <c r="R168" s="20"/>
      <c r="S168" s="30"/>
    </row>
    <row r="169" spans="2:19" ht="18" customHeight="1" ns2:dyDescent="0.3">
      <c r="B169" s="135"/>
      <c r="C169" s="20"/>
      <c r="D169" s="20"/>
      <c r="E169" s="20"/>
      <c r="F169" s="20"/>
      <c r="G169" s="20"/>
      <c r="H169" s="60"/>
      <c r="I169" s="20"/>
      <c r="N169" s="20"/>
      <c r="Q169" s="60"/>
      <c r="R169" s="20"/>
      <c r="S169" s="30"/>
    </row>
    <row r="170" spans="2:19" ht="18" customHeight="1" ns2:dyDescent="0.3">
      <c r="B170" s="135"/>
      <c r="C170" s="20"/>
      <c r="D170" s="20"/>
      <c r="E170" s="20"/>
      <c r="F170" s="20"/>
      <c r="G170" s="20"/>
      <c r="H170" s="60"/>
      <c r="I170" s="20"/>
      <c r="N170" s="20"/>
      <c r="Q170" s="60"/>
      <c r="R170" s="20"/>
      <c r="S170" s="30"/>
    </row>
    <row r="171" spans="2:19" ht="18" customHeight="1" ns2:dyDescent="0.3">
      <c r="B171" s="135"/>
      <c r="C171" s="20"/>
      <c r="D171" s="20"/>
      <c r="E171" s="20"/>
      <c r="F171" s="20"/>
      <c r="G171" s="20"/>
      <c r="H171" s="60"/>
      <c r="I171" s="20"/>
      <c r="N171" s="20"/>
      <c r="Q171" s="60"/>
      <c r="R171" s="20"/>
      <c r="S171" s="30"/>
    </row>
    <row r="172" spans="2:19" ht="18" customHeight="1" ns2:dyDescent="0.3">
      <c r="B172" s="135"/>
      <c r="C172" s="20"/>
      <c r="D172" s="20"/>
      <c r="E172" s="20"/>
      <c r="F172" s="20"/>
      <c r="G172" s="20"/>
      <c r="H172" s="60"/>
      <c r="I172" s="20"/>
      <c r="N172" s="20"/>
      <c r="Q172" s="60"/>
      <c r="R172" s="20"/>
      <c r="S172" s="30"/>
    </row>
    <row r="173" spans="2:19" ht="18" customHeight="1" ns2:dyDescent="0.3">
      <c r="B173" s="135"/>
      <c r="C173" s="20"/>
      <c r="D173" s="20"/>
      <c r="E173" s="20"/>
      <c r="F173" s="20"/>
      <c r="G173" s="20"/>
      <c r="H173" s="60"/>
      <c r="I173" s="20"/>
      <c r="N173" s="20"/>
      <c r="Q173" s="60"/>
      <c r="R173" s="20"/>
      <c r="S173" s="30"/>
    </row>
    <row r="174" spans="2:19" ht="18" customHeight="1" ns2:dyDescent="0.3">
      <c r="B174" s="135"/>
      <c r="C174" s="20"/>
      <c r="D174" s="20"/>
      <c r="E174" s="20"/>
      <c r="F174" s="20"/>
      <c r="G174" s="20"/>
      <c r="H174" s="60"/>
      <c r="I174" s="20"/>
      <c r="N174" s="20"/>
      <c r="Q174" s="60"/>
      <c r="R174" s="20"/>
      <c r="S174" s="30"/>
    </row>
    <row r="175" spans="2:19" ht="18" customHeight="1" ns2:dyDescent="0.3">
      <c r="B175" s="135"/>
      <c r="C175" s="20"/>
      <c r="D175" s="20"/>
      <c r="E175" s="20"/>
      <c r="F175" s="20"/>
      <c r="G175" s="20"/>
      <c r="H175" s="60"/>
      <c r="N175" s="20"/>
      <c r="Q175" s="60"/>
      <c r="R175" s="20"/>
      <c r="S175" s="30"/>
    </row>
    <row r="176" spans="2:19" ht="18" customHeight="1" ns2:dyDescent="0.3">
      <c r="B176" s="135"/>
      <c r="C176" s="20"/>
      <c r="D176" s="20"/>
      <c r="E176" s="20"/>
      <c r="F176" s="20"/>
      <c r="G176" s="20"/>
      <c r="H176" s="60"/>
      <c r="N176" s="20"/>
      <c r="Q176" s="60"/>
      <c r="R176" s="20"/>
      <c r="S176" s="30"/>
    </row>
    <row r="177" spans="2:19" ht="18" customHeight="1" ns2:dyDescent="0.3">
      <c r="B177" s="135"/>
      <c r="C177" s="20"/>
      <c r="D177" s="20"/>
      <c r="E177" s="20"/>
      <c r="F177" s="20"/>
      <c r="G177" s="20"/>
      <c r="H177" s="60"/>
      <c r="N177" s="20"/>
      <c r="Q177" s="60"/>
      <c r="R177" s="20"/>
      <c r="S177" s="30"/>
    </row>
    <row r="178" spans="2:19" ht="18" customHeight="1" ns2:dyDescent="0.3">
      <c r="B178" s="135"/>
      <c r="C178" s="20"/>
      <c r="D178" s="20"/>
      <c r="E178" s="20"/>
      <c r="F178" s="20"/>
      <c r="G178" s="20"/>
      <c r="H178" s="60"/>
      <c r="N178" s="20"/>
      <c r="Q178" s="60"/>
      <c r="R178" s="20"/>
      <c r="S178" s="30"/>
    </row>
    <row r="179" spans="2:19" ht="18" customHeight="1" ns2:dyDescent="0.3">
      <c r="B179" s="135"/>
      <c r="C179" s="20"/>
      <c r="D179" s="20"/>
      <c r="E179" s="20"/>
      <c r="F179" s="20"/>
      <c r="G179" s="20"/>
      <c r="H179" s="60"/>
      <c r="N179" s="20"/>
      <c r="Q179" s="60"/>
      <c r="R179" s="20"/>
      <c r="S179" s="30"/>
    </row>
    <row r="180" spans="2:19" ht="18" customHeight="1" ns2:dyDescent="0.3">
      <c r="B180" s="135"/>
      <c r="C180" s="20"/>
      <c r="D180" s="20"/>
      <c r="E180" s="20"/>
      <c r="F180" s="20"/>
      <c r="G180" s="20"/>
      <c r="H180" s="60"/>
      <c r="N180" s="20"/>
      <c r="Q180" s="60"/>
      <c r="R180" s="20"/>
      <c r="S180" s="30"/>
    </row>
    <row r="181" spans="2:19" ht="18" customHeight="1" ns2:dyDescent="0.3">
      <c r="B181" s="135"/>
      <c r="C181" s="20"/>
      <c r="D181" s="20"/>
      <c r="E181" s="20"/>
      <c r="F181" s="20"/>
      <c r="G181" s="20"/>
      <c r="H181" s="60"/>
      <c r="N181" s="20"/>
      <c r="Q181" s="60"/>
      <c r="R181" s="20"/>
      <c r="S181" s="30"/>
    </row>
    <row r="182" spans="2:19" ht="18" customHeight="1" ns2:dyDescent="0.3">
      <c r="B182" s="135"/>
      <c r="C182" s="20"/>
      <c r="D182" s="20"/>
      <c r="E182" s="20"/>
      <c r="F182" s="20"/>
      <c r="G182" s="20"/>
      <c r="H182" s="60"/>
      <c r="Q182" s="60"/>
      <c r="R182" s="20"/>
      <c r="S182" s="30"/>
    </row>
    <row r="183" spans="2:19" ht="18" customHeight="1" ns2:dyDescent="0.3">
      <c r="B183" s="135"/>
      <c r="C183" s="20"/>
      <c r="D183" s="20"/>
      <c r="E183" s="20"/>
      <c r="F183" s="20"/>
      <c r="G183" s="20"/>
      <c r="H183" s="60"/>
      <c r="Q183" s="60"/>
      <c r="R183" s="20"/>
      <c r="S183" s="30"/>
    </row>
    <row r="184" spans="2:19" ht="18" customHeight="1" ns2:dyDescent="0.3">
      <c r="B184" s="135"/>
      <c r="C184" s="20"/>
      <c r="D184" s="20"/>
      <c r="E184" s="20"/>
      <c r="F184" s="20"/>
      <c r="G184" s="20"/>
      <c r="H184" s="60"/>
      <c r="Q184" s="60"/>
      <c r="R184" s="20"/>
      <c r="S184" s="30"/>
    </row>
    <row r="185" spans="2:19" ht="18" customHeight="1" ns2:dyDescent="0.3">
      <c r="B185" s="135"/>
      <c r="C185" s="20"/>
      <c r="D185" s="20"/>
      <c r="E185" s="20"/>
      <c r="F185" s="20"/>
      <c r="G185" s="20"/>
      <c r="H185" s="60"/>
      <c r="Q185" s="60"/>
      <c r="R185" s="20"/>
      <c r="S185" s="30"/>
    </row>
    <row r="186" spans="2:19" ht="18" customHeight="1" ns2:dyDescent="0.3">
      <c r="B186" s="135"/>
      <c r="C186" s="20"/>
      <c r="D186" s="20"/>
      <c r="E186" s="20"/>
      <c r="F186" s="20"/>
      <c r="G186" s="20"/>
      <c r="H186" s="60"/>
      <c r="Q186" s="60"/>
      <c r="R186" s="20"/>
      <c r="S186" s="30"/>
    </row>
    <row r="187" spans="2:19" ht="18" customHeight="1" ns2:dyDescent="0.3">
      <c r="B187" s="135"/>
      <c r="C187" s="20"/>
      <c r="D187" s="20"/>
      <c r="E187" s="20"/>
      <c r="F187" s="20"/>
      <c r="G187" s="20"/>
      <c r="H187" s="60"/>
      <c r="Q187" s="60"/>
      <c r="R187" s="20"/>
      <c r="S187" s="30"/>
    </row>
    <row r="188" spans="2:19" ht="18" customHeight="1" ns2:dyDescent="0.3">
      <c r="B188" s="135"/>
      <c r="C188" s="20"/>
      <c r="D188" s="20"/>
      <c r="E188" s="20"/>
      <c r="F188" s="20"/>
      <c r="G188" s="20"/>
      <c r="H188" s="60"/>
      <c r="Q188" s="60"/>
      <c r="R188" s="20"/>
      <c r="S188" s="30"/>
    </row>
    <row r="189" spans="2:19" ht="18" customHeight="1" ns2:dyDescent="0.3">
      <c r="B189" s="135"/>
      <c r="C189" s="20"/>
      <c r="D189" s="20"/>
      <c r="E189" s="20"/>
      <c r="F189" s="20"/>
      <c r="G189" s="20"/>
      <c r="H189" s="60"/>
      <c r="Q189" s="60"/>
      <c r="R189" s="20"/>
      <c r="S189" s="30"/>
    </row>
    <row r="190" spans="2:19" ht="18" customHeight="1" ns2:dyDescent="0.3">
      <c r="B190" s="135"/>
      <c r="C190" s="20"/>
      <c r="D190" s="20"/>
      <c r="E190" s="20"/>
      <c r="F190" s="20"/>
      <c r="G190" s="20"/>
      <c r="H190" s="60"/>
      <c r="Q190" s="60"/>
      <c r="R190" s="20"/>
      <c r="S190" s="30"/>
    </row>
    <row r="191" spans="2:19" ht="18" customHeight="1" ns2:dyDescent="0.3">
      <c r="B191" s="135"/>
      <c r="C191" s="20"/>
      <c r="D191" s="20"/>
      <c r="E191" s="20"/>
      <c r="F191" s="20"/>
      <c r="G191" s="20"/>
      <c r="H191" s="60"/>
      <c r="Q191" s="60"/>
      <c r="R191" s="20"/>
      <c r="S191" s="30"/>
    </row>
    <row r="192" spans="2:19" ht="18" customHeight="1" ns2:dyDescent="0.3">
      <c r="B192" s="135"/>
      <c r="C192" s="20"/>
      <c r="D192" s="20"/>
      <c r="E192" s="20"/>
      <c r="F192" s="20"/>
      <c r="G192" s="20"/>
      <c r="H192" s="60"/>
      <c r="Q192" s="60"/>
      <c r="R192" s="20"/>
      <c r="S192" s="30"/>
    </row>
    <row r="193" spans="2:19" ht="18" customHeight="1" ns2:dyDescent="0.3">
      <c r="B193" s="135"/>
      <c r="C193" s="20"/>
      <c r="D193" s="20"/>
      <c r="E193" s="20"/>
      <c r="F193" s="20"/>
      <c r="G193" s="20"/>
      <c r="H193" s="60"/>
      <c r="Q193" s="60"/>
      <c r="R193" s="20"/>
      <c r="S193" s="30"/>
    </row>
    <row r="194" spans="2:19" ht="18" customHeight="1" ns2:dyDescent="0.3">
      <c r="B194" s="135"/>
      <c r="C194" s="20"/>
      <c r="D194" s="20"/>
      <c r="E194" s="20"/>
      <c r="F194" s="20"/>
      <c r="G194" s="20"/>
      <c r="H194" s="60"/>
      <c r="Q194" s="60"/>
      <c r="R194" s="20"/>
      <c r="S194" s="30"/>
    </row>
    <row r="195" spans="2:19" ht="18" customHeight="1" ns2:dyDescent="0.3">
      <c r="B195" s="135"/>
      <c r="C195" s="20"/>
      <c r="D195" s="20"/>
      <c r="E195" s="20"/>
      <c r="F195" s="20"/>
      <c r="G195" s="20"/>
      <c r="H195" s="60"/>
      <c r="Q195" s="60"/>
      <c r="R195" s="20"/>
      <c r="S195" s="30"/>
    </row>
    <row r="196" spans="2:19" ht="18" customHeight="1" ns2:dyDescent="0.3">
      <c r="B196" s="135"/>
      <c r="C196" s="20"/>
      <c r="D196" s="20"/>
      <c r="E196" s="20"/>
      <c r="F196" s="20"/>
      <c r="G196" s="20"/>
      <c r="H196" s="60"/>
      <c r="Q196" s="60"/>
      <c r="R196" s="20"/>
      <c r="S196" s="30"/>
    </row>
    <row r="197" spans="2:19" ht="18" customHeight="1" ns2:dyDescent="0.3">
      <c r="B197" s="135"/>
      <c r="C197" s="20"/>
      <c r="D197" s="20"/>
      <c r="E197" s="20"/>
      <c r="F197" s="20"/>
      <c r="G197" s="20"/>
      <c r="H197" s="60"/>
      <c r="Q197" s="60"/>
      <c r="R197" s="20"/>
      <c r="S197" s="30"/>
    </row>
    <row r="198" spans="2:19" ht="18" customHeight="1" ns2:dyDescent="0.3">
      <c r="B198" s="135"/>
      <c r="C198" s="20"/>
      <c r="D198" s="20"/>
      <c r="E198" s="20"/>
      <c r="F198" s="20"/>
      <c r="G198" s="20"/>
      <c r="H198" s="60"/>
      <c r="Q198" s="60"/>
      <c r="R198" s="20"/>
      <c r="S198" s="30"/>
    </row>
    <row r="199" spans="2:19" ht="18" customHeight="1" ns2:dyDescent="0.3">
      <c r="H199" s="60"/>
      <c r="Q199" s="60"/>
      <c r="R199" s="20"/>
      <c r="S199" s="30"/>
    </row>
    <row r="200" spans="2:19" ht="18" customHeight="1" ns2:dyDescent="0.3">
      <c r="H200" s="60"/>
      <c r="Q200" s="60"/>
      <c r="R200" s="20"/>
      <c r="S200" s="30"/>
    </row>
    <row r="201" spans="2:19" ht="18" customHeight="1" ns2:dyDescent="0.3">
      <c r="H201" s="60"/>
      <c r="Q201" s="60"/>
      <c r="R201" s="20"/>
      <c r="S201" s="30"/>
    </row>
    <row r="202" spans="2:19" ht="18" customHeight="1" ns2:dyDescent="0.3">
      <c r="H202" s="60"/>
      <c r="Q202" s="60"/>
      <c r="R202" s="20"/>
      <c r="S202" s="30"/>
    </row>
    <row r="203" spans="2:19" ht="18" customHeight="1" ns2:dyDescent="0.3">
      <c r="H203" s="60"/>
      <c r="Q203" s="60"/>
      <c r="R203" s="20"/>
      <c r="S203" s="30"/>
    </row>
    <row r="204" spans="2:19" ht="18" customHeight="1" ns2:dyDescent="0.3">
      <c r="H204" s="60"/>
      <c r="Q204" s="60"/>
      <c r="R204" s="20"/>
      <c r="S204" s="30"/>
    </row>
    <row r="205" spans="2:19" ht="18" customHeight="1" ns2:dyDescent="0.3">
      <c r="H205" s="60"/>
      <c r="Q205" s="60"/>
      <c r="R205" s="20"/>
      <c r="S205" s="30"/>
    </row>
    <row r="206" spans="2:19" ht="18" customHeight="1" ns2:dyDescent="0.3">
      <c r="H206" s="60"/>
      <c r="Q206" s="60"/>
      <c r="R206" s="20"/>
      <c r="S206" s="30"/>
    </row>
    <row r="207" spans="2:19" ht="18" customHeight="1" ns2:dyDescent="0.3">
      <c r="H207" s="60"/>
      <c r="Q207" s="60"/>
      <c r="R207" s="20"/>
      <c r="S207" s="30"/>
    </row>
    <row r="208" spans="2:19" ht="18" customHeight="1" ns2:dyDescent="0.3">
      <c r="H208" s="60"/>
      <c r="Q208" s="60"/>
      <c r="R208" s="20"/>
      <c r="S208" s="30"/>
    </row>
    <row r="209" spans="8:19" ht="18" customHeight="1" ns2:dyDescent="0.3">
      <c r="H209" s="60"/>
      <c r="Q209" s="60"/>
      <c r="R209" s="20"/>
      <c r="S209" s="30"/>
    </row>
    <row r="210" spans="8:19" ht="18" customHeight="1" ns2:dyDescent="0.3">
      <c r="H210" s="60"/>
      <c r="Q210" s="60"/>
      <c r="R210" s="20"/>
      <c r="S210" s="30"/>
    </row>
    <row r="211" spans="8:19" ht="18" customHeight="1" ns2:dyDescent="0.3">
      <c r="H211" s="60"/>
      <c r="Q211" s="60"/>
      <c r="R211" s="20"/>
      <c r="S211" s="30"/>
    </row>
    <row r="212" spans="8:19" ht="18" customHeight="1" ns2:dyDescent="0.3">
      <c r="H212" s="60"/>
      <c r="Q212" s="60"/>
      <c r="R212" s="20"/>
      <c r="S212" s="30"/>
    </row>
    <row r="213" spans="8:19" ht="18" customHeight="1" ns2:dyDescent="0.3">
      <c r="H213" s="60"/>
      <c r="Q213" s="60"/>
      <c r="R213" s="20"/>
      <c r="S213" s="30"/>
    </row>
    <row r="214" spans="8:19" ht="18" customHeight="1" ns2:dyDescent="0.3">
      <c r="H214" s="60"/>
      <c r="Q214" s="60"/>
      <c r="R214" s="20"/>
      <c r="S214" s="30"/>
    </row>
    <row r="215" spans="8:19" ht="18" customHeight="1" ns2:dyDescent="0.3">
      <c r="H215" s="60"/>
      <c r="Q215" s="60"/>
      <c r="R215" s="20"/>
      <c r="S215" s="30"/>
    </row>
    <row r="216" spans="8:19" ht="18" customHeight="1" ns2:dyDescent="0.3">
      <c r="H216" s="60"/>
      <c r="Q216" s="60"/>
      <c r="R216" s="20"/>
      <c r="S216" s="30"/>
    </row>
    <row r="217" spans="8:19" ht="18" customHeight="1" ns2:dyDescent="0.3">
      <c r="H217" s="60"/>
      <c r="Q217" s="60"/>
      <c r="R217" s="20"/>
      <c r="S217" s="30"/>
    </row>
    <row r="218" spans="8:19" ht="18" customHeight="1" ns2:dyDescent="0.3">
      <c r="H218" s="60"/>
      <c r="Q218" s="60"/>
      <c r="R218" s="20"/>
      <c r="S218" s="30"/>
    </row>
    <row r="219" spans="8:19" ht="18" customHeight="1" ns2:dyDescent="0.3">
      <c r="H219" s="60"/>
      <c r="Q219" s="60"/>
      <c r="R219" s="20"/>
      <c r="S219" s="30"/>
    </row>
    <row r="220" spans="8:19" ht="18" customHeight="1" ns2:dyDescent="0.3">
      <c r="H220" s="60"/>
      <c r="Q220" s="60"/>
      <c r="R220" s="20"/>
      <c r="S220" s="30"/>
    </row>
    <row r="221" spans="8:19" ht="18" customHeight="1" ns2:dyDescent="0.3">
      <c r="H221" s="60"/>
      <c r="Q221" s="60"/>
      <c r="R221" s="20"/>
      <c r="S221" s="30"/>
    </row>
    <row r="222" spans="8:19" ht="18" customHeight="1" ns2:dyDescent="0.3">
      <c r="H222" s="60"/>
      <c r="Q222" s="60"/>
      <c r="R222" s="20"/>
      <c r="S222" s="30"/>
    </row>
    <row r="223" spans="8:19" ht="18" customHeight="1" ns2:dyDescent="0.3">
      <c r="H223" s="60"/>
      <c r="Q223" s="60"/>
      <c r="R223" s="20"/>
      <c r="S223" s="30"/>
    </row>
    <row r="224" spans="8:19" ht="18" customHeight="1" ns2:dyDescent="0.3">
      <c r="H224" s="60"/>
      <c r="Q224" s="60"/>
      <c r="R224" s="20"/>
      <c r="S224" s="30"/>
    </row>
    <row r="225" spans="8:19" ht="18" customHeight="1" ns2:dyDescent="0.3">
      <c r="H225" s="60"/>
      <c r="Q225" s="60"/>
      <c r="R225" s="20"/>
      <c r="S225" s="30"/>
    </row>
    <row r="226" spans="8:19" ht="18" customHeight="1" ns2:dyDescent="0.3">
      <c r="H226" s="60"/>
      <c r="Q226" s="60"/>
      <c r="R226" s="20"/>
      <c r="S226" s="30"/>
    </row>
    <row r="227" spans="8:19" ht="18" customHeight="1" ns2:dyDescent="0.3">
      <c r="H227" s="60"/>
      <c r="Q227" s="60"/>
      <c r="R227" s="20"/>
      <c r="S227" s="30"/>
    </row>
    <row r="228" spans="8:19" ht="18" customHeight="1" ns2:dyDescent="0.3">
      <c r="H228" s="60"/>
      <c r="Q228" s="60"/>
      <c r="R228" s="20"/>
      <c r="S228" s="30"/>
    </row>
    <row r="229" spans="8:19" ht="18" customHeight="1" ns2:dyDescent="0.3">
      <c r="H229" s="60"/>
      <c r="Q229" s="60"/>
      <c r="R229" s="20"/>
      <c r="S229" s="30"/>
    </row>
    <row r="230" spans="8:19" ht="18" customHeight="1" ns2:dyDescent="0.3">
      <c r="H230" s="60"/>
      <c r="Q230" s="60"/>
      <c r="R230" s="20"/>
      <c r="S230" s="30"/>
    </row>
    <row r="231" spans="8:19" ht="18" customHeight="1" ns2:dyDescent="0.3">
      <c r="H231" s="60"/>
      <c r="Q231" s="60"/>
      <c r="R231" s="20"/>
      <c r="S231" s="30"/>
    </row>
    <row r="232" spans="8:19" ht="18" customHeight="1" ns2:dyDescent="0.3">
      <c r="H232" s="60"/>
      <c r="Q232" s="60"/>
      <c r="R232" s="20"/>
      <c r="S232" s="30"/>
    </row>
    <row r="233" spans="8:19" ht="18" customHeight="1" ns2:dyDescent="0.3">
      <c r="H233" s="60"/>
      <c r="Q233" s="60"/>
      <c r="R233" s="20"/>
      <c r="S233" s="30"/>
    </row>
    <row r="234" spans="8:19" ht="18" customHeight="1" ns2:dyDescent="0.3">
      <c r="H234" s="60"/>
      <c r="Q234" s="60"/>
      <c r="R234" s="20"/>
      <c r="S234" s="30"/>
    </row>
    <row r="235" spans="8:19" ht="18" customHeight="1" ns2:dyDescent="0.3">
      <c r="H235" s="60"/>
      <c r="Q235" s="60"/>
      <c r="R235" s="20"/>
      <c r="S235" s="30"/>
    </row>
    <row r="236" spans="8:19" ht="18" customHeight="1" ns2:dyDescent="0.3">
      <c r="H236" s="60"/>
      <c r="Q236" s="60"/>
      <c r="R236" s="20"/>
      <c r="S236" s="30"/>
    </row>
    <row r="237" spans="8:19" ht="18" customHeight="1" ns2:dyDescent="0.3">
      <c r="H237" s="60"/>
      <c r="Q237" s="60"/>
      <c r="R237" s="20"/>
      <c r="S237" s="30"/>
    </row>
    <row r="238" spans="8:19" ht="18" customHeight="1" ns2:dyDescent="0.3">
      <c r="H238" s="60"/>
      <c r="Q238" s="60"/>
      <c r="R238" s="20"/>
      <c r="S238" s="30"/>
    </row>
    <row r="239" spans="8:19" ht="18" customHeight="1" ns2:dyDescent="0.3">
      <c r="H239" s="60"/>
      <c r="Q239" s="60"/>
      <c r="R239" s="20"/>
      <c r="S239" s="30"/>
    </row>
    <row r="240" spans="8:19" ht="18" customHeight="1" ns2:dyDescent="0.3">
      <c r="H240" s="60"/>
      <c r="Q240" s="60"/>
      <c r="R240" s="20"/>
      <c r="S240" s="30"/>
    </row>
    <row r="241" spans="8:19" ht="18" customHeight="1" ns2:dyDescent="0.3">
      <c r="H241" s="60"/>
      <c r="Q241" s="60"/>
      <c r="R241" s="20"/>
      <c r="S241" s="30"/>
    </row>
    <row r="242" spans="8:19" ht="18" customHeight="1" ns2:dyDescent="0.3">
      <c r="H242" s="60"/>
      <c r="Q242" s="60"/>
      <c r="R242" s="20"/>
      <c r="S242" s="30"/>
    </row>
    <row r="243" spans="8:19" ht="18" customHeight="1" ns2:dyDescent="0.3">
      <c r="H243" s="60"/>
      <c r="Q243" s="60"/>
      <c r="R243" s="20"/>
      <c r="S243" s="30"/>
    </row>
    <row r="244" spans="8:19" ht="18" customHeight="1" ns2:dyDescent="0.3">
      <c r="H244" s="60"/>
      <c r="Q244" s="60"/>
      <c r="R244" s="20"/>
      <c r="S244" s="30"/>
    </row>
    <row r="245" spans="8:19" ht="18" customHeight="1" ns2:dyDescent="0.3">
      <c r="H245" s="60"/>
      <c r="Q245" s="60"/>
      <c r="R245" s="20"/>
      <c r="S245" s="30"/>
    </row>
    <row r="246" spans="8:19" ht="18" customHeight="1" ns2:dyDescent="0.3">
      <c r="H246" s="60"/>
      <c r="Q246" s="60"/>
      <c r="R246" s="20"/>
      <c r="S246" s="30"/>
    </row>
    <row r="247" spans="8:19" ht="18" customHeight="1" ns2:dyDescent="0.3">
      <c r="H247" s="60"/>
      <c r="Q247" s="60"/>
      <c r="R247" s="20"/>
      <c r="S247" s="30"/>
    </row>
    <row r="248" spans="8:19" ht="18" customHeight="1" ns2:dyDescent="0.3">
      <c r="H248" s="60"/>
      <c r="Q248" s="60"/>
      <c r="R248" s="20"/>
      <c r="S248" s="30"/>
    </row>
    <row r="249" spans="8:19" ht="18" customHeight="1" ns2:dyDescent="0.3">
      <c r="H249" s="60"/>
      <c r="Q249" s="60"/>
      <c r="R249" s="20"/>
      <c r="S249" s="30"/>
    </row>
    <row r="250" spans="8:19" ht="18" customHeight="1" ns2:dyDescent="0.3">
      <c r="H250" s="60"/>
      <c r="Q250" s="60"/>
      <c r="R250" s="20"/>
      <c r="S250" s="30"/>
    </row>
    <row r="251" spans="8:19" ht="18" customHeight="1" ns2:dyDescent="0.3">
      <c r="H251" s="60"/>
      <c r="Q251" s="60"/>
      <c r="R251" s="20"/>
      <c r="S251" s="30"/>
    </row>
    <row r="252" spans="8:19" ht="18" customHeight="1" ns2:dyDescent="0.3">
      <c r="H252" s="60"/>
      <c r="Q252" s="60"/>
      <c r="R252" s="20"/>
      <c r="S252" s="30"/>
    </row>
    <row r="253" spans="8:19" ht="18" customHeight="1" ns2:dyDescent="0.3">
      <c r="H253" s="60"/>
      <c r="Q253" s="60"/>
      <c r="R253" s="20"/>
      <c r="S253" s="30"/>
    </row>
    <row r="254" spans="8:19" ht="18" customHeight="1" ns2:dyDescent="0.3">
      <c r="H254" s="60"/>
      <c r="Q254" s="60"/>
      <c r="R254" s="20"/>
      <c r="S254" s="30"/>
    </row>
    <row r="255" spans="8:19" ht="18" customHeight="1" ns2:dyDescent="0.3">
      <c r="H255" s="60"/>
      <c r="Q255" s="60"/>
      <c r="R255" s="20"/>
      <c r="S255" s="30"/>
    </row>
    <row r="256" spans="8:19" ht="18" customHeight="1" ns2:dyDescent="0.3">
      <c r="H256" s="60"/>
      <c r="Q256" s="60"/>
      <c r="R256" s="20"/>
      <c r="S256" s="30"/>
    </row>
    <row r="257" spans="8:19" ht="18" customHeight="1" ns2:dyDescent="0.3">
      <c r="H257" s="60"/>
      <c r="Q257" s="60"/>
      <c r="R257" s="20"/>
      <c r="S257" s="30"/>
    </row>
    <row r="258" spans="8:19" ht="18" customHeight="1" ns2:dyDescent="0.3">
      <c r="H258" s="60"/>
      <c r="Q258" s="60"/>
      <c r="R258" s="20"/>
      <c r="S258" s="30"/>
    </row>
    <row r="259" spans="8:19" ht="18" customHeight="1" ns2:dyDescent="0.3">
      <c r="H259" s="60"/>
      <c r="Q259" s="60"/>
      <c r="R259" s="20"/>
      <c r="S259" s="30"/>
    </row>
    <row r="260" spans="8:19" ht="18" customHeight="1" ns2:dyDescent="0.3">
      <c r="H260" s="60"/>
      <c r="Q260" s="60"/>
      <c r="R260" s="20"/>
      <c r="S260" s="30"/>
    </row>
    <row r="261" spans="8:19" ht="18" customHeight="1" ns2:dyDescent="0.3">
      <c r="H261" s="60"/>
      <c r="Q261" s="60"/>
      <c r="R261" s="20"/>
      <c r="S261" s="30"/>
    </row>
    <row r="262" spans="8:19" ht="18" customHeight="1" ns2:dyDescent="0.3">
      <c r="H262" s="60"/>
      <c r="Q262" s="60"/>
      <c r="R262" s="20"/>
      <c r="S262" s="30"/>
    </row>
    <row r="263" spans="8:19" ht="18" customHeight="1" ns2:dyDescent="0.3">
      <c r="H263" s="60"/>
      <c r="Q263" s="60"/>
      <c r="R263" s="20"/>
      <c r="S263" s="30"/>
    </row>
    <row r="264" spans="8:19" ht="18" customHeight="1" ns2:dyDescent="0.3">
      <c r="H264" s="60"/>
      <c r="Q264" s="60"/>
      <c r="R264" s="20"/>
      <c r="S264" s="30"/>
    </row>
    <row r="265" spans="8:19" ht="18" customHeight="1" ns2:dyDescent="0.3">
      <c r="H265" s="60"/>
      <c r="Q265" s="60"/>
      <c r="R265" s="20"/>
      <c r="S265" s="30"/>
    </row>
    <row r="266" spans="8:19" ht="18" customHeight="1" ns2:dyDescent="0.3">
      <c r="H266" s="60"/>
      <c r="Q266" s="60"/>
      <c r="R266" s="20"/>
      <c r="S266" s="30"/>
    </row>
    <row r="267" spans="8:19" ht="18" customHeight="1" ns2:dyDescent="0.3">
      <c r="H267" s="60"/>
      <c r="Q267" s="60"/>
      <c r="R267" s="20"/>
      <c r="S267" s="30"/>
    </row>
    <row r="268" spans="8:19" ht="18" customHeight="1" ns2:dyDescent="0.3">
      <c r="H268" s="60"/>
      <c r="Q268" s="60"/>
      <c r="R268" s="20"/>
      <c r="S268" s="30"/>
    </row>
    <row r="269" spans="8:19" ht="18" customHeight="1" ns2:dyDescent="0.3">
      <c r="H269" s="60"/>
      <c r="Q269" s="60"/>
      <c r="R269" s="20"/>
      <c r="S269" s="30"/>
    </row>
    <row r="270" spans="8:19" ht="18" customHeight="1" ns2:dyDescent="0.3">
      <c r="H270" s="60"/>
      <c r="Q270" s="60"/>
      <c r="R270" s="20"/>
    </row>
    <row r="271" spans="8:19" ht="18" customHeight="1" ns2:dyDescent="0.3">
      <c r="H271" s="60"/>
      <c r="Q271" s="60"/>
      <c r="R271" s="20"/>
    </row>
    <row r="272" spans="8:19" ht="18" customHeight="1" ns2:dyDescent="0.3">
      <c r="H272" s="60"/>
      <c r="Q272" s="60"/>
      <c r="R272" s="24"/>
    </row>
    <row r="273" spans="8:18" ht="18" customHeight="1" ns2:dyDescent="0.3">
      <c r="H273" s="60"/>
      <c r="Q273" s="60"/>
      <c r="R273" s="22"/>
    </row>
    <row r="274" spans="8:18" ht="18" customHeight="1" ns2:dyDescent="0.3">
      <c r="H274" s="60"/>
      <c r="Q274" s="60"/>
      <c r="R274" s="22"/>
    </row>
    <row r="275" spans="8:18" ht="18" customHeight="1" ns2:dyDescent="0.3">
      <c r="H275" s="60"/>
      <c r="Q275" s="60"/>
      <c r="R275" s="22"/>
    </row>
    <row r="276" spans="8:18" ht="18" customHeight="1" ns2:dyDescent="0.3">
      <c r="H276" s="60"/>
      <c r="Q276" s="60"/>
      <c r="R276" s="22"/>
    </row>
    <row r="277" spans="8:18" ht="18" customHeight="1" ns2:dyDescent="0.3">
      <c r="H277" s="60"/>
      <c r="Q277" s="60"/>
      <c r="R277" s="22"/>
    </row>
    <row r="278" spans="8:18" ht="18" customHeight="1" ns2:dyDescent="0.3">
      <c r="H278" s="60"/>
      <c r="Q278" s="60"/>
      <c r="R278" s="22"/>
    </row>
    <row r="279" spans="8:18" ht="18" customHeight="1" ns2:dyDescent="0.3">
      <c r="H279" s="60"/>
      <c r="Q279" s="60"/>
      <c r="R279" s="22"/>
    </row>
    <row r="280" spans="8:18" ht="18" customHeight="1" ns2:dyDescent="0.3">
      <c r="H280" s="60"/>
      <c r="Q280" s="60"/>
    </row>
    <row r="281" spans="8:18" ht="18" customHeight="1" ns2:dyDescent="0.3">
      <c r="H281" s="60"/>
      <c r="Q281" s="60"/>
    </row>
    <row r="282" spans="8:18" ht="18" customHeight="1" ns2:dyDescent="0.3">
      <c r="H282" s="60"/>
      <c r="Q282" s="60"/>
    </row>
    <row r="283" spans="8:18" ht="18" customHeight="1" ns2:dyDescent="0.3">
      <c r="H283" s="60"/>
      <c r="Q283" s="60"/>
    </row>
    <row r="284" spans="8:18" ht="18" customHeight="1" ns2:dyDescent="0.3">
      <c r="H284" s="60"/>
      <c r="Q284" s="60"/>
    </row>
    <row r="285" spans="8:18" ht="18" customHeight="1" ns2:dyDescent="0.3">
      <c r="H285" s="60"/>
      <c r="Q285" s="60"/>
    </row>
    <row r="286" spans="8:18" ht="18" customHeight="1" ns2:dyDescent="0.3">
      <c r="H286" s="60"/>
      <c r="Q286" s="60"/>
    </row>
    <row r="287" spans="8:18" ht="18" customHeight="1" ns2:dyDescent="0.3">
      <c r="H287" s="60"/>
      <c r="Q287" s="60"/>
    </row>
    <row r="288" spans="8:18" ht="18" customHeight="1" ns2:dyDescent="0.3">
      <c r="H288" s="60"/>
      <c r="Q288" s="60"/>
    </row>
    <row r="289" spans="8:17" ht="18" customHeight="1" ns2:dyDescent="0.3">
      <c r="H289" s="60"/>
      <c r="Q289" s="60"/>
    </row>
    <row r="290" spans="8:17" ht="18" customHeight="1" ns2:dyDescent="0.3">
      <c r="H290" s="60"/>
      <c r="Q290" s="60"/>
    </row>
    <row r="291" spans="8:17" ht="18" customHeight="1" ns2:dyDescent="0.3">
      <c r="H291" s="60"/>
      <c r="Q291" s="60"/>
    </row>
    <row r="292" spans="8:17" ht="18" customHeight="1" ns2:dyDescent="0.3">
      <c r="H292" s="60"/>
      <c r="Q292" s="60"/>
    </row>
    <row r="293" spans="8:17" ht="18" customHeight="1" ns2:dyDescent="0.3">
      <c r="H293" s="60"/>
      <c r="Q293" s="60"/>
    </row>
    <row r="294" spans="8:17" ht="18" customHeight="1" ns2:dyDescent="0.3">
      <c r="H294" s="60"/>
      <c r="Q294" s="60"/>
    </row>
    <row r="295" spans="8:17" ht="18" customHeight="1" ns2:dyDescent="0.3">
      <c r="H295" s="60"/>
      <c r="Q295" s="60"/>
    </row>
    <row r="296" spans="8:17" ht="18" customHeight="1" ns2:dyDescent="0.3">
      <c r="H296" s="60"/>
      <c r="Q296" s="60"/>
    </row>
    <row r="297" spans="8:17" ht="18" customHeight="1" ns2:dyDescent="0.3">
      <c r="H297" s="60"/>
      <c r="Q297" s="60"/>
    </row>
    <row r="298" spans="8:17" ht="18" customHeight="1" ns2:dyDescent="0.3">
      <c r="H298" s="60"/>
      <c r="Q298" s="60"/>
    </row>
    <row r="299" spans="8:17" ht="18" customHeight="1" ns2:dyDescent="0.3">
      <c r="H299" s="60"/>
      <c r="Q299" s="60"/>
    </row>
    <row r="300" spans="8:17" ht="18" customHeight="1" ns2:dyDescent="0.3">
      <c r="H300" s="60"/>
      <c r="Q300" s="60"/>
    </row>
    <row r="301" spans="8:17" ht="18" customHeight="1" ns2:dyDescent="0.3">
      <c r="H301" s="60"/>
      <c r="Q301" s="60"/>
    </row>
    <row r="302" spans="8:17" ht="18" customHeight="1" ns2:dyDescent="0.3">
      <c r="H302" s="60"/>
      <c r="Q302" s="60"/>
    </row>
    <row r="303" spans="8:17" ht="18" customHeight="1" ns2:dyDescent="0.3">
      <c r="H303" s="60"/>
      <c r="Q303" s="60"/>
    </row>
    <row r="304" spans="8:17" ht="18" customHeight="1" ns2:dyDescent="0.3">
      <c r="H304" s="60"/>
      <c r="Q304" s="60"/>
    </row>
    <row r="305" spans="8:17" ht="18" customHeight="1" ns2:dyDescent="0.3">
      <c r="H305" s="60"/>
      <c r="Q305" s="60"/>
    </row>
    <row r="306" spans="8:17" ht="18" customHeight="1" ns2:dyDescent="0.3">
      <c r="H306" s="60"/>
      <c r="Q306" s="60"/>
    </row>
    <row r="307" spans="8:17" ht="18" customHeight="1" ns2:dyDescent="0.3">
      <c r="H307" s="60"/>
      <c r="Q307" s="60"/>
    </row>
    <row r="308" spans="8:17" ht="18" customHeight="1" ns2:dyDescent="0.3">
      <c r="H308" s="60"/>
      <c r="Q308" s="60"/>
    </row>
    <row r="309" spans="8:17" ht="18" customHeight="1" ns2:dyDescent="0.3">
      <c r="H309" s="60"/>
      <c r="Q309" s="60"/>
    </row>
    <row r="310" spans="8:17" ht="18" customHeight="1" ns2:dyDescent="0.3">
      <c r="H310" s="60"/>
      <c r="Q310" s="60"/>
    </row>
    <row r="311" spans="8:17" ht="18" customHeight="1" ns2:dyDescent="0.3">
      <c r="H311" s="60"/>
      <c r="Q311" s="60"/>
    </row>
    <row r="312" spans="8:17" ht="18" customHeight="1" ns2:dyDescent="0.3">
      <c r="H312" s="60"/>
      <c r="Q312" s="60"/>
    </row>
    <row r="313" spans="8:17" ht="18" customHeight="1" ns2:dyDescent="0.3">
      <c r="H313" s="60"/>
      <c r="Q313" s="60"/>
    </row>
    <row r="314" spans="8:17" ht="18" customHeight="1" ns2:dyDescent="0.3">
      <c r="H314" s="60"/>
      <c r="Q314" s="60"/>
    </row>
    <row r="315" spans="8:17" ht="18" customHeight="1" ns2:dyDescent="0.3">
      <c r="H315" s="60"/>
      <c r="Q315" s="60"/>
    </row>
    <row r="316" spans="8:17" ht="18" customHeight="1" ns2:dyDescent="0.3">
      <c r="H316" s="60"/>
      <c r="Q316" s="60"/>
    </row>
    <row r="317" spans="8:17" ht="18" customHeight="1" ns2:dyDescent="0.3">
      <c r="H317" s="60"/>
      <c r="Q317" s="60"/>
    </row>
    <row r="318" spans="8:17" ht="18" customHeight="1" ns2:dyDescent="0.3">
      <c r="H318" s="60"/>
      <c r="Q318" s="60"/>
    </row>
    <row r="319" spans="8:17" ht="18" customHeight="1" ns2:dyDescent="0.3">
      <c r="H319" s="60"/>
      <c r="Q319" s="60"/>
    </row>
    <row r="320" spans="8:17" ht="18" customHeight="1" ns2:dyDescent="0.3">
      <c r="H320" s="60"/>
      <c r="Q320" s="60"/>
    </row>
    <row r="321" spans="8:17" ht="18" customHeight="1" ns2:dyDescent="0.3">
      <c r="H321" s="60"/>
      <c r="Q321" s="60"/>
    </row>
    <row r="322" spans="8:17" ht="18" customHeight="1" ns2:dyDescent="0.3">
      <c r="H322" s="60"/>
      <c r="Q322" s="60"/>
    </row>
    <row r="323" spans="8:17" ht="18" customHeight="1" ns2:dyDescent="0.3">
      <c r="H323" s="60"/>
      <c r="Q323" s="60"/>
    </row>
    <row r="324" spans="8:17" ht="18" customHeight="1" ns2:dyDescent="0.3">
      <c r="H324" s="60"/>
      <c r="Q324" s="60"/>
    </row>
    <row r="325" spans="8:17" ht="18" customHeight="1" ns2:dyDescent="0.3">
      <c r="H325" s="60"/>
      <c r="Q325" s="60"/>
    </row>
    <row r="326" spans="8:17" ht="18" customHeight="1" ns2:dyDescent="0.3">
      <c r="H326" s="60"/>
      <c r="Q326" s="60"/>
    </row>
    <row r="327" spans="8:17" ht="18" customHeight="1" ns2:dyDescent="0.3">
      <c r="H327" s="60"/>
      <c r="Q327" s="60"/>
    </row>
    <row r="328" spans="8:17" ht="18" customHeight="1" ns2:dyDescent="0.3">
      <c r="H328" s="60"/>
      <c r="Q328" s="60"/>
    </row>
    <row r="329" spans="8:17" ht="18" customHeight="1" ns2:dyDescent="0.3">
      <c r="H329" s="60"/>
      <c r="Q329" s="60"/>
    </row>
    <row r="330" spans="8:17" ht="18" customHeight="1" ns2:dyDescent="0.3">
      <c r="H330" s="60"/>
      <c r="Q330" s="60"/>
    </row>
    <row r="331" spans="8:17" ht="18" customHeight="1" ns2:dyDescent="0.3">
      <c r="H331" s="60"/>
      <c r="Q331" s="60"/>
    </row>
    <row r="332" spans="8:17" ht="18" customHeight="1" ns2:dyDescent="0.3">
      <c r="H332" s="60"/>
      <c r="Q332" s="60"/>
    </row>
    <row r="333" spans="8:17" ht="18" customHeight="1" ns2:dyDescent="0.3">
      <c r="H333" s="60"/>
      <c r="Q333" s="60"/>
    </row>
    <row r="334" spans="8:17" ht="18" customHeight="1" ns2:dyDescent="0.3">
      <c r="H334" s="60"/>
      <c r="Q334" s="60"/>
    </row>
    <row r="335" spans="8:17" ht="18" customHeight="1" ns2:dyDescent="0.3">
      <c r="H335" s="60"/>
      <c r="Q335" s="60"/>
    </row>
    <row r="336" spans="8:17" ht="18" customHeight="1" ns2:dyDescent="0.3">
      <c r="H336" s="60"/>
      <c r="Q336" s="60"/>
    </row>
    <row r="337" spans="8:17" ht="18" customHeight="1" ns2:dyDescent="0.3">
      <c r="H337" s="60"/>
      <c r="Q337" s="60"/>
    </row>
    <row r="338" spans="8:17" ht="18" customHeight="1" ns2:dyDescent="0.3">
      <c r="H338" s="60"/>
      <c r="Q338" s="60"/>
    </row>
    <row r="339" spans="8:17" ht="18" customHeight="1" ns2:dyDescent="0.3">
      <c r="H339" s="60"/>
      <c r="Q339" s="60"/>
    </row>
    <row r="340" spans="8:17" ht="18" customHeight="1" ns2:dyDescent="0.3">
      <c r="H340" s="60"/>
      <c r="Q340" s="60"/>
    </row>
    <row r="341" spans="8:17" ht="18" customHeight="1" ns2:dyDescent="0.3">
      <c r="H341" s="60"/>
      <c r="Q341" s="60"/>
    </row>
    <row r="342" spans="8:17" ht="18" customHeight="1" ns2:dyDescent="0.3">
      <c r="H342" s="60"/>
      <c r="Q342" s="60"/>
    </row>
    <row r="343" spans="8:17" ht="18" customHeight="1" ns2:dyDescent="0.3">
      <c r="H343" s="60"/>
      <c r="Q343" s="60"/>
    </row>
    <row r="344" spans="8:17" ht="18" customHeight="1" ns2:dyDescent="0.3">
      <c r="H344" s="60"/>
      <c r="Q344" s="60"/>
    </row>
    <row r="345" spans="8:17" ht="18" customHeight="1" ns2:dyDescent="0.3">
      <c r="H345" s="60"/>
      <c r="Q345" s="60"/>
    </row>
    <row r="346" spans="8:17" ht="18" customHeight="1" ns2:dyDescent="0.3">
      <c r="H346" s="60"/>
      <c r="Q346" s="60"/>
    </row>
    <row r="347" spans="8:17" ht="18" customHeight="1" ns2:dyDescent="0.3">
      <c r="H347" s="60"/>
      <c r="Q347" s="60"/>
    </row>
    <row r="348" spans="8:17" ht="18" customHeight="1" ns2:dyDescent="0.3">
      <c r="H348" s="60"/>
      <c r="Q348" s="60"/>
    </row>
    <row r="349" spans="8:17" ht="18" customHeight="1" ns2:dyDescent="0.3">
      <c r="H349" s="60"/>
      <c r="Q349" s="60"/>
    </row>
    <row r="350" spans="8:17" ht="18" customHeight="1" ns2:dyDescent="0.3">
      <c r="H350" s="60"/>
      <c r="Q350" s="60"/>
    </row>
    <row r="351" spans="8:17" ht="18" customHeight="1" ns2:dyDescent="0.3">
      <c r="H351" s="60"/>
      <c r="Q351" s="60"/>
    </row>
    <row r="352" spans="8:17" ht="18" customHeight="1" ns2:dyDescent="0.3">
      <c r="H352" s="60"/>
      <c r="Q352" s="60"/>
    </row>
    <row r="353" spans="8:17" ht="18" customHeight="1" ns2:dyDescent="0.3">
      <c r="H353" s="60"/>
      <c r="Q353" s="60"/>
    </row>
    <row r="354" spans="8:17" ht="18" customHeight="1" ns2:dyDescent="0.3">
      <c r="H354" s="60"/>
      <c r="Q354" s="60"/>
    </row>
    <row r="355" spans="8:17" ht="18" customHeight="1" ns2:dyDescent="0.3">
      <c r="H355" s="60"/>
      <c r="Q355" s="60"/>
    </row>
    <row r="356" spans="8:17" ht="18" customHeight="1" ns2:dyDescent="0.3">
      <c r="H356" s="60"/>
      <c r="Q356" s="60"/>
    </row>
    <row r="357" spans="8:17" ht="18" customHeight="1" ns2:dyDescent="0.3">
      <c r="H357" s="60"/>
      <c r="Q357" s="60"/>
    </row>
    <row r="358" spans="8:17" ht="18" customHeight="1" ns2:dyDescent="0.3">
      <c r="H358" s="60"/>
      <c r="Q358" s="60"/>
    </row>
    <row r="359" spans="8:17" ht="18" customHeight="1" ns2:dyDescent="0.3">
      <c r="H359" s="60"/>
      <c r="Q359" s="60"/>
    </row>
    <row r="360" spans="8:17" ht="18" customHeight="1" ns2:dyDescent="0.3">
      <c r="H360" s="60"/>
      <c r="Q360" s="60"/>
    </row>
    <row r="361" spans="8:17" ht="18" customHeight="1" ns2:dyDescent="0.3">
      <c r="H361" s="60"/>
      <c r="Q361" s="60"/>
    </row>
    <row r="362" spans="8:17" ht="18" customHeight="1" ns2:dyDescent="0.3">
      <c r="H362" s="60"/>
      <c r="Q362" s="60"/>
    </row>
    <row r="363" spans="8:17" ht="18" customHeight="1" ns2:dyDescent="0.3">
      <c r="H363" s="60"/>
      <c r="Q363" s="60"/>
    </row>
    <row r="364" spans="8:17" ht="18" customHeight="1" ns2:dyDescent="0.3">
      <c r="H364" s="60"/>
      <c r="Q364" s="60"/>
    </row>
    <row r="365" spans="8:17" ht="18" customHeight="1" ns2:dyDescent="0.3">
      <c r="H365" s="60"/>
      <c r="Q365" s="60"/>
    </row>
    <row r="366" spans="8:17" ht="18" customHeight="1" ns2:dyDescent="0.3">
      <c r="H366" s="60"/>
      <c r="Q366" s="60"/>
    </row>
    <row r="367" spans="8:17" ht="18" customHeight="1" ns2:dyDescent="0.3">
      <c r="H367" s="60"/>
      <c r="Q367" s="60"/>
    </row>
    <row r="368" spans="8:17" ht="18" customHeight="1" ns2:dyDescent="0.3">
      <c r="H368" s="60"/>
      <c r="Q368" s="60"/>
    </row>
    <row r="369" spans="8:17" ht="18" customHeight="1" ns2:dyDescent="0.3">
      <c r="H369" s="60"/>
      <c r="Q369" s="60"/>
    </row>
    <row r="370" spans="8:17" ht="18" customHeight="1" ns2:dyDescent="0.3">
      <c r="H370" s="60"/>
      <c r="Q370" s="60"/>
    </row>
    <row r="371" spans="8:17" ht="18" customHeight="1" ns2:dyDescent="0.3">
      <c r="H371" s="60"/>
      <c r="Q371" s="60"/>
    </row>
    <row r="372" spans="8:17" ht="18" customHeight="1" ns2:dyDescent="0.3">
      <c r="H372" s="60"/>
      <c r="Q372" s="60"/>
    </row>
    <row r="373" spans="8:17" ht="18" customHeight="1" ns2:dyDescent="0.3">
      <c r="H373" s="60"/>
      <c r="Q373" s="60"/>
    </row>
    <row r="374" spans="8:17" ht="18" customHeight="1" ns2:dyDescent="0.3">
      <c r="H374" s="60"/>
      <c r="Q374" s="60"/>
    </row>
    <row r="375" spans="8:17" ht="18" customHeight="1" ns2:dyDescent="0.3">
      <c r="H375" s="60"/>
      <c r="Q375" s="60"/>
    </row>
    <row r="376" spans="8:17" ht="18" customHeight="1" ns2:dyDescent="0.3">
      <c r="H376" s="60"/>
      <c r="Q376" s="60"/>
    </row>
    <row r="377" spans="8:17" ht="18" customHeight="1" ns2:dyDescent="0.3">
      <c r="H377" s="60"/>
      <c r="Q377" s="60"/>
    </row>
    <row r="378" spans="8:17" ht="18" customHeight="1" ns2:dyDescent="0.3">
      <c r="H378" s="60"/>
      <c r="Q378" s="60"/>
    </row>
    <row r="379" spans="8:17" ht="18" customHeight="1" ns2:dyDescent="0.3">
      <c r="H379" s="60"/>
      <c r="Q379" s="60"/>
    </row>
    <row r="380" spans="8:17" ht="18" customHeight="1" ns2:dyDescent="0.3">
      <c r="H380" s="60"/>
      <c r="Q380" s="60"/>
    </row>
    <row r="381" spans="8:17" ht="18" customHeight="1" ns2:dyDescent="0.3">
      <c r="H381" s="60"/>
      <c r="Q381" s="60"/>
    </row>
    <row r="382" spans="8:17" ht="18" customHeight="1" ns2:dyDescent="0.3">
      <c r="H382" s="60"/>
      <c r="Q382" s="60"/>
    </row>
    <row r="383" spans="8:17" ht="18" customHeight="1" ns2:dyDescent="0.3">
      <c r="H383" s="60"/>
      <c r="Q383" s="60"/>
    </row>
    <row r="384" spans="8:17" ht="18" customHeight="1" ns2:dyDescent="0.3">
      <c r="H384" s="60"/>
      <c r="Q384" s="60"/>
    </row>
    <row r="385" spans="8:17" ht="18" customHeight="1" ns2:dyDescent="0.3">
      <c r="H385" s="60"/>
      <c r="Q385" s="60"/>
    </row>
    <row r="386" spans="8:17" ht="18" customHeight="1" ns2:dyDescent="0.3">
      <c r="H386" s="60"/>
      <c r="Q386" s="60"/>
    </row>
    <row r="387" spans="8:17" ht="18" customHeight="1" ns2:dyDescent="0.3">
      <c r="H387" s="60"/>
      <c r="Q387" s="60"/>
    </row>
    <row r="388" spans="8:17" ht="18" customHeight="1" ns2:dyDescent="0.3">
      <c r="H388" s="60"/>
      <c r="Q388" s="60"/>
    </row>
    <row r="389" spans="8:17" ht="18" customHeight="1" ns2:dyDescent="0.3">
      <c r="H389" s="60"/>
      <c r="Q389" s="60"/>
    </row>
    <row r="390" spans="8:17" ht="18" customHeight="1" ns2:dyDescent="0.3">
      <c r="H390" s="60"/>
      <c r="Q390" s="60"/>
    </row>
    <row r="391" spans="8:17" ht="18" customHeight="1" ns2:dyDescent="0.3">
      <c r="H391" s="60"/>
      <c r="Q391" s="60"/>
    </row>
    <row r="392" spans="8:17" ht="18" customHeight="1" ns2:dyDescent="0.3">
      <c r="H392" s="60"/>
      <c r="Q392" s="60"/>
    </row>
    <row r="393" spans="8:17" ht="18" customHeight="1" ns2:dyDescent="0.3">
      <c r="H393" s="60"/>
      <c r="Q393" s="60"/>
    </row>
    <row r="394" spans="8:17" ht="18" customHeight="1" ns2:dyDescent="0.3">
      <c r="H394" s="60"/>
      <c r="Q394" s="60"/>
    </row>
    <row r="395" spans="8:17" ht="18" customHeight="1" ns2:dyDescent="0.3">
      <c r="H395" s="60"/>
      <c r="Q395" s="60"/>
    </row>
    <row r="396" spans="8:17" ht="18" customHeight="1" ns2:dyDescent="0.3">
      <c r="H396" s="60"/>
      <c r="Q396" s="60"/>
    </row>
    <row r="397" spans="8:17" ht="18" customHeight="1" ns2:dyDescent="0.3">
      <c r="H397" s="60"/>
      <c r="Q397" s="60"/>
    </row>
    <row r="398" spans="8:17" ht="18" customHeight="1" ns2:dyDescent="0.3">
      <c r="H398" s="60"/>
      <c r="Q398" s="60"/>
    </row>
    <row r="399" spans="8:17" ht="18" customHeight="1" ns2:dyDescent="0.3">
      <c r="H399" s="60"/>
      <c r="Q399" s="60"/>
    </row>
    <row r="400" spans="8:17" ht="18" customHeight="1" ns2:dyDescent="0.3">
      <c r="H400" s="60"/>
      <c r="Q400" s="60"/>
    </row>
    <row r="401" spans="8:17" ht="18" customHeight="1" ns2:dyDescent="0.3">
      <c r="H401" s="60"/>
      <c r="Q401" s="60"/>
    </row>
    <row r="402" spans="8:17" ht="18" customHeight="1" ns2:dyDescent="0.3">
      <c r="H402" s="60"/>
      <c r="Q402" s="60"/>
    </row>
    <row r="403" spans="8:17" ht="18" customHeight="1" ns2:dyDescent="0.3">
      <c r="H403" s="60"/>
      <c r="Q403" s="60"/>
    </row>
    <row r="404" spans="8:17" ht="18" customHeight="1" ns2:dyDescent="0.3">
      <c r="H404" s="60"/>
      <c r="Q404" s="60"/>
    </row>
    <row r="405" spans="8:17" ht="18" customHeight="1" ns2:dyDescent="0.3">
      <c r="H405" s="60"/>
      <c r="Q405" s="60"/>
    </row>
    <row r="406" spans="8:17" ht="18" customHeight="1" ns2:dyDescent="0.3">
      <c r="H406" s="60"/>
      <c r="Q406" s="60"/>
    </row>
    <row r="407" spans="8:17" ht="18" customHeight="1" ns2:dyDescent="0.3">
      <c r="H407" s="60"/>
      <c r="Q407" s="60"/>
    </row>
    <row r="408" spans="8:17" ht="18" customHeight="1" ns2:dyDescent="0.3">
      <c r="Q408" s="60"/>
    </row>
    <row r="409" spans="8:17" ht="18" customHeight="1" ns2:dyDescent="0.3">
      <c r="Q409" s="60"/>
    </row>
    <row r="410" spans="8:17" ht="18" customHeight="1" ns2:dyDescent="0.3">
      <c r="Q410" s="60"/>
    </row>
    <row r="411" spans="8:17" ht="18" customHeight="1" ns2:dyDescent="0.3">
      <c r="Q411" s="60"/>
    </row>
    <row r="412" spans="8:17" ht="18" customHeight="1" ns2:dyDescent="0.3">
      <c r="Q412" s="60"/>
    </row>
    <row r="413" spans="8:17" ht="18" customHeight="1" ns2:dyDescent="0.3">
      <c r="Q413" s="60"/>
    </row>
    <row r="414" spans="8:17" ht="18" customHeight="1" ns2:dyDescent="0.3">
      <c r="Q414" s="60"/>
    </row>
    <row r="415" spans="8:17" ht="18" customHeight="1" ns2:dyDescent="0.3">
      <c r="Q415" s="60"/>
    </row>
    <row r="416" spans="8:17" ht="18" customHeight="1" ns2:dyDescent="0.3">
      <c r="Q416" s="60"/>
    </row>
    <row r="417" spans="17:17" ht="18" customHeight="1" ns2:dyDescent="0.3">
      <c r="Q417" s="60"/>
    </row>
    <row r="418" spans="17:17" ht="18" customHeight="1" ns2:dyDescent="0.3">
      <c r="Q418" s="60"/>
    </row>
    <row r="419" spans="17:17" ht="18" customHeight="1" ns2:dyDescent="0.3">
      <c r="Q419" s="60"/>
    </row>
    <row r="420" spans="17:17" ht="18" customHeight="1" ns2:dyDescent="0.3">
      <c r="Q420" s="60"/>
    </row>
    <row r="421" spans="17:17" ht="18" customHeight="1" ns2:dyDescent="0.3">
      <c r="Q421" s="60"/>
    </row>
    <row r="422" spans="17:17" ht="18" customHeight="1" ns2:dyDescent="0.3">
      <c r="Q422" s="60"/>
    </row>
    <row r="423" spans="17:17" ht="18" customHeight="1" ns2:dyDescent="0.3">
      <c r="Q423" s="60"/>
    </row>
    <row r="424" spans="17:17" ht="18" customHeight="1" ns2:dyDescent="0.3">
      <c r="Q424" s="60"/>
    </row>
    <row r="425" spans="17:17" ht="18" customHeight="1" ns2:dyDescent="0.3">
      <c r="Q425" s="60"/>
    </row>
    <row r="426" spans="17:17" ht="18" customHeight="1" ns2:dyDescent="0.3">
      <c r="Q426" s="60"/>
    </row>
    <row r="427" spans="17:17" ht="18" customHeight="1" ns2:dyDescent="0.3">
      <c r="Q427" s="60"/>
    </row>
    <row r="428" spans="17:17" ht="18" customHeight="1" ns2:dyDescent="0.3">
      <c r="Q428" s="60"/>
    </row>
    <row r="429" spans="17:17" ht="18" customHeight="1" ns2:dyDescent="0.3">
      <c r="Q429" s="60"/>
    </row>
    <row r="430" spans="17:17" ht="18" customHeight="1" ns2:dyDescent="0.3">
      <c r="Q430" s="60"/>
    </row>
    <row r="431" spans="17:17" ht="18" customHeight="1" ns2:dyDescent="0.3">
      <c r="Q431" s="60"/>
    </row>
    <row r="432" spans="17:17" ht="18" customHeight="1" ns2:dyDescent="0.3">
      <c r="Q432" s="60"/>
    </row>
    <row r="433" spans="17:17" ht="18" customHeight="1" ns2:dyDescent="0.3">
      <c r="Q433" s="60"/>
    </row>
    <row r="434" spans="17:17" ht="18" customHeight="1" ns2:dyDescent="0.3">
      <c r="Q434" s="60"/>
    </row>
    <row r="435" spans="17:17" ht="18" customHeight="1" ns2:dyDescent="0.3">
      <c r="Q435" s="60"/>
    </row>
    <row r="436" spans="17:17" ht="18" customHeight="1" ns2:dyDescent="0.3">
      <c r="Q436" s="60"/>
    </row>
    <row r="437" spans="17:17" ht="18" customHeight="1" ns2:dyDescent="0.3">
      <c r="Q437" s="60"/>
    </row>
    <row r="438" spans="17:17" ht="18" customHeight="1" ns2:dyDescent="0.3">
      <c r="Q438" s="60"/>
    </row>
    <row r="439" spans="17:17" ht="18" customHeight="1" ns2:dyDescent="0.3">
      <c r="Q439" s="60"/>
    </row>
    <row r="440" spans="17:17" ht="18" customHeight="1" ns2:dyDescent="0.3">
      <c r="Q440" s="60"/>
    </row>
    <row r="441" spans="17:17" ht="18" customHeight="1" ns2:dyDescent="0.3">
      <c r="Q441" s="60"/>
    </row>
    <row r="442" spans="17:17" ht="18" customHeight="1" ns2:dyDescent="0.3">
      <c r="Q442" s="60"/>
    </row>
    <row r="443" spans="17:17" ht="18" customHeight="1" ns2:dyDescent="0.3">
      <c r="Q443" s="60"/>
    </row>
    <row r="444" spans="17:17" ht="18" customHeight="1" ns2:dyDescent="0.3">
      <c r="Q444" s="60"/>
    </row>
    <row r="445" spans="17:17" ht="18" customHeight="1" ns2:dyDescent="0.3">
      <c r="Q445" s="60"/>
    </row>
    <row r="446" spans="17:17" ht="18" customHeight="1" ns2:dyDescent="0.3">
      <c r="Q446" s="60"/>
    </row>
    <row r="447" spans="17:17" ht="18" customHeight="1" ns2:dyDescent="0.3">
      <c r="Q447" s="60"/>
    </row>
    <row r="448" spans="17:17" ht="18" customHeight="1" ns2:dyDescent="0.3">
      <c r="Q448" s="60"/>
    </row>
    <row r="449" spans="17:17" ht="18" customHeight="1" ns2:dyDescent="0.3">
      <c r="Q449" s="60"/>
    </row>
    <row r="450" spans="17:17" ht="18" customHeight="1" ns2:dyDescent="0.3">
      <c r="Q450" s="60"/>
    </row>
    <row r="451" spans="17:17" ht="18" customHeight="1" ns2:dyDescent="0.3">
      <c r="Q451" s="60"/>
    </row>
    <row r="452" spans="17:17" ht="18" customHeight="1" ns2:dyDescent="0.3">
      <c r="Q452" s="60"/>
    </row>
    <row r="453" spans="17:17" ht="18" customHeight="1" ns2:dyDescent="0.3">
      <c r="Q453" s="60"/>
    </row>
    <row r="454" spans="17:17" ht="18" customHeight="1" ns2:dyDescent="0.3">
      <c r="Q454" s="60"/>
    </row>
    <row r="455" spans="17:17" ht="18" customHeight="1" ns2:dyDescent="0.3">
      <c r="Q455" s="60"/>
    </row>
    <row r="456" spans="17:17" ht="18" customHeight="1" ns2:dyDescent="0.3">
      <c r="Q456" s="60"/>
    </row>
    <row r="457" spans="17:17" ht="18" customHeight="1" ns2:dyDescent="0.3">
      <c r="Q457" s="60"/>
    </row>
    <row r="458" spans="17:17" ht="18" customHeight="1" ns2:dyDescent="0.3">
      <c r="Q458" s="60"/>
    </row>
    <row r="459" spans="17:17" ht="18" customHeight="1" ns2:dyDescent="0.3">
      <c r="Q459" s="60"/>
    </row>
    <row r="460" spans="17:17" ht="18" customHeight="1" ns2:dyDescent="0.3">
      <c r="Q460" s="60"/>
    </row>
    <row r="461" spans="17:17" ht="18" customHeight="1" ns2:dyDescent="0.3">
      <c r="Q461" s="60"/>
    </row>
    <row r="462" spans="17:17" ht="18" customHeight="1" ns2:dyDescent="0.3">
      <c r="Q462" s="60"/>
    </row>
    <row r="463" spans="17:17" ht="18" customHeight="1" ns2:dyDescent="0.3">
      <c r="Q463" s="60"/>
    </row>
    <row r="464" spans="17:17" ht="18" customHeight="1" ns2:dyDescent="0.3">
      <c r="Q464" s="60"/>
    </row>
    <row r="465" spans="17:17" ht="18" customHeight="1" ns2:dyDescent="0.3">
      <c r="Q465" s="60"/>
    </row>
    <row r="466" spans="17:17" ht="18" customHeight="1" ns2:dyDescent="0.3">
      <c r="Q466" s="60"/>
    </row>
    <row r="467" spans="17:17" ht="18" customHeight="1" ns2:dyDescent="0.3">
      <c r="Q467" s="60"/>
    </row>
    <row r="468" spans="17:17" ht="18" customHeight="1" ns2:dyDescent="0.3">
      <c r="Q468" s="60"/>
    </row>
    <row r="469" spans="17:17" ht="18" customHeight="1" ns2:dyDescent="0.3">
      <c r="Q469" s="60"/>
    </row>
    <row r="470" spans="17:17" ht="18" customHeight="1" ns2:dyDescent="0.3">
      <c r="Q470" s="60"/>
    </row>
    <row r="471" spans="17:17" ht="18" customHeight="1" ns2:dyDescent="0.3">
      <c r="Q471" s="60"/>
    </row>
    <row r="472" spans="17:17" ht="18" customHeight="1" ns2:dyDescent="0.3">
      <c r="Q472" s="60"/>
    </row>
    <row r="473" spans="17:17" ht="18" customHeight="1" ns2:dyDescent="0.3">
      <c r="Q473" s="60"/>
    </row>
    <row r="474" spans="17:17" ht="18" customHeight="1" ns2:dyDescent="0.3">
      <c r="Q474" s="60"/>
    </row>
    <row r="475" spans="17:17" ht="18" customHeight="1" ns2:dyDescent="0.3">
      <c r="Q475" s="60"/>
    </row>
    <row r="476" spans="17:17" ht="18" customHeight="1" ns2:dyDescent="0.3">
      <c r="Q476" s="60"/>
    </row>
    <row r="477" spans="17:17" ht="18" customHeight="1" ns2:dyDescent="0.3">
      <c r="Q477" s="60"/>
    </row>
    <row r="478" spans="17:17" ht="18" customHeight="1" ns2:dyDescent="0.3">
      <c r="Q478" s="60"/>
    </row>
    <row r="479" spans="17:17" ht="18" customHeight="1" ns2:dyDescent="0.3">
      <c r="Q479" s="60"/>
    </row>
    <row r="480" spans="17:17" ht="18" customHeight="1" ns2:dyDescent="0.3">
      <c r="Q480" s="60"/>
    </row>
    <row r="481" spans="17:17" ht="18" customHeight="1" ns2:dyDescent="0.3">
      <c r="Q481" s="60"/>
    </row>
    <row r="482" spans="17:17" ht="18" customHeight="1" ns2:dyDescent="0.3">
      <c r="Q482" s="60"/>
    </row>
    <row r="483" spans="17:17" ht="18" customHeight="1" ns2:dyDescent="0.3">
      <c r="Q483" s="60"/>
    </row>
    <row r="484" spans="17:17" ht="18" customHeight="1" ns2:dyDescent="0.3">
      <c r="Q484" s="60"/>
    </row>
    <row r="485" spans="17:17" ht="18" customHeight="1" ns2:dyDescent="0.3">
      <c r="Q485" s="60"/>
    </row>
    <row r="486" spans="17:17" ht="18" customHeight="1" ns2:dyDescent="0.3">
      <c r="Q486" s="60"/>
    </row>
    <row r="487" spans="17:17" ht="18" customHeight="1" ns2:dyDescent="0.3">
      <c r="Q487" s="60"/>
    </row>
    <row r="488" spans="17:17" ht="18" customHeight="1" ns2:dyDescent="0.3">
      <c r="Q488" s="60"/>
    </row>
    <row r="489" spans="17:17" ht="18" customHeight="1" ns2:dyDescent="0.3">
      <c r="Q489" s="60"/>
    </row>
    <row r="490" spans="17:17" ht="18" customHeight="1" ns2:dyDescent="0.3">
      <c r="Q490" s="60"/>
    </row>
    <row r="491" spans="17:17" ht="18" customHeight="1" ns2:dyDescent="0.3">
      <c r="Q491" s="60"/>
    </row>
    <row r="492" spans="17:17" ht="18" customHeight="1" ns2:dyDescent="0.3">
      <c r="Q492" s="60"/>
    </row>
    <row r="493" spans="17:17" ht="18" customHeight="1" ns2:dyDescent="0.3">
      <c r="Q493" s="60"/>
    </row>
    <row r="494" spans="17:17" ht="18" customHeight="1" ns2:dyDescent="0.3">
      <c r="Q494" s="60"/>
    </row>
    <row r="495" spans="17:17" ht="18" customHeight="1" ns2:dyDescent="0.3">
      <c r="Q495" s="60"/>
    </row>
    <row r="496" spans="17:17" ht="18" customHeight="1" ns2:dyDescent="0.3">
      <c r="Q496" s="60"/>
    </row>
    <row r="497" spans="17:17" ht="18" customHeight="1" ns2:dyDescent="0.3">
      <c r="Q497" s="60"/>
    </row>
    <row r="498" spans="17:17" ht="18" customHeight="1" ns2:dyDescent="0.3">
      <c r="Q498" s="60"/>
    </row>
    <row r="499" spans="17:17" ht="18" customHeight="1" ns2:dyDescent="0.3">
      <c r="Q499" s="60"/>
    </row>
    <row r="500" spans="17:17" ht="18" customHeight="1" ns2:dyDescent="0.3">
      <c r="Q500" s="60"/>
    </row>
    <row r="501" spans="17:17" ht="18" customHeight="1" ns2:dyDescent="0.3">
      <c r="Q501" s="60"/>
    </row>
    <row r="502" spans="17:17" ht="18" customHeight="1" ns2:dyDescent="0.3">
      <c r="Q502" s="60"/>
    </row>
    <row r="503" spans="17:17" ht="18" customHeight="1" ns2:dyDescent="0.3">
      <c r="Q503" s="60"/>
    </row>
    <row r="504" spans="17:17" ht="18" customHeight="1" ns2:dyDescent="0.3">
      <c r="Q504" s="60"/>
    </row>
    <row r="505" spans="17:17" ht="18" customHeight="1" ns2:dyDescent="0.3">
      <c r="Q505" s="60"/>
    </row>
    <row r="506" spans="17:17" ht="18" customHeight="1" ns2:dyDescent="0.3">
      <c r="Q506" s="60"/>
    </row>
    <row r="507" spans="17:17" ht="18" customHeight="1" ns2:dyDescent="0.3">
      <c r="Q507" s="60"/>
    </row>
    <row r="508" spans="17:17" ht="18" customHeight="1" ns2:dyDescent="0.3">
      <c r="Q508" s="60"/>
    </row>
    <row r="509" spans="17:17" ht="18" customHeight="1" ns2:dyDescent="0.3">
      <c r="Q509" s="60"/>
    </row>
    <row r="510" spans="17:17" ht="18" customHeight="1" ns2:dyDescent="0.3">
      <c r="Q510" s="60"/>
    </row>
    <row r="511" spans="17:17" ht="18" customHeight="1" ns2:dyDescent="0.3">
      <c r="Q511" s="60"/>
    </row>
    <row r="512" spans="17:17" ht="18" customHeight="1" ns2:dyDescent="0.3">
      <c r="Q512" s="60"/>
    </row>
    <row r="513" spans="17:17" ht="18" customHeight="1" ns2:dyDescent="0.3">
      <c r="Q513" s="60"/>
    </row>
    <row r="514" spans="17:17" ht="18" customHeight="1" ns2:dyDescent="0.3">
      <c r="Q514" s="60"/>
    </row>
    <row r="515" spans="17:17" ht="18" customHeight="1" ns2:dyDescent="0.3">
      <c r="Q515" s="60"/>
    </row>
    <row r="516" spans="17:17" ht="18" customHeight="1" ns2:dyDescent="0.3">
      <c r="Q516" s="60"/>
    </row>
    <row r="517" spans="17:17" ht="18" customHeight="1" ns2:dyDescent="0.3">
      <c r="Q517" s="60"/>
    </row>
    <row r="518" spans="17:17" ht="18" customHeight="1" ns2:dyDescent="0.3">
      <c r="Q518" s="60"/>
    </row>
    <row r="519" spans="17:17" ht="18" customHeight="1" ns2:dyDescent="0.3">
      <c r="Q519" s="60"/>
    </row>
    <row r="520" spans="17:17" ht="18" customHeight="1" ns2:dyDescent="0.3">
      <c r="Q520" s="60"/>
    </row>
    <row r="521" spans="17:17" ht="18" customHeight="1" ns2:dyDescent="0.3">
      <c r="Q521" s="60"/>
    </row>
    <row r="522" spans="17:17" ht="18" customHeight="1" ns2:dyDescent="0.3">
      <c r="Q522" s="60"/>
    </row>
    <row r="523" spans="17:17" ht="18" customHeight="1" ns2:dyDescent="0.3">
      <c r="Q523" s="60"/>
    </row>
    <row r="524" spans="17:17" ht="18" customHeight="1" ns2:dyDescent="0.3">
      <c r="Q524" s="60"/>
    </row>
    <row r="525" spans="17:17" ht="18" customHeight="1" ns2:dyDescent="0.3">
      <c r="Q525" s="60"/>
    </row>
    <row r="526" spans="17:17" ht="18" customHeight="1" ns2:dyDescent="0.3">
      <c r="Q526" s="60"/>
    </row>
    <row r="527" spans="17:17" ht="18" customHeight="1" ns2:dyDescent="0.3">
      <c r="Q527" s="60"/>
    </row>
    <row r="528" spans="17:17" ht="18" customHeight="1" ns2:dyDescent="0.3">
      <c r="Q528" s="60"/>
    </row>
    <row r="529" spans="17:17" ht="18" customHeight="1" ns2:dyDescent="0.3">
      <c r="Q529" s="60"/>
    </row>
    <row r="530" spans="17:17" ht="18" customHeight="1" ns2:dyDescent="0.3">
      <c r="Q530" s="60"/>
    </row>
    <row r="531" spans="17:17" ht="18" customHeight="1" ns2:dyDescent="0.3">
      <c r="Q531" s="60"/>
    </row>
    <row r="532" spans="17:17" ht="18" customHeight="1" ns2:dyDescent="0.3">
      <c r="Q532" s="60"/>
    </row>
    <row r="533" spans="17:17" ht="18" customHeight="1" ns2:dyDescent="0.3">
      <c r="Q533" s="60"/>
    </row>
    <row r="534" spans="17:17" ht="18" customHeight="1" ns2:dyDescent="0.3">
      <c r="Q534" s="60"/>
    </row>
    <row r="535" spans="17:17" ht="18" customHeight="1" ns2:dyDescent="0.3">
      <c r="Q535" s="60"/>
    </row>
    <row r="536" spans="17:17" ht="18" customHeight="1" ns2:dyDescent="0.3">
      <c r="Q536" s="60"/>
    </row>
    <row r="537" spans="17:17" ht="18" customHeight="1" ns2:dyDescent="0.3">
      <c r="Q537" s="60"/>
    </row>
    <row r="538" spans="17:17" ht="18" customHeight="1" ns2:dyDescent="0.3">
      <c r="Q538" s="60"/>
    </row>
    <row r="539" spans="17:17" ht="18" customHeight="1" ns2:dyDescent="0.3">
      <c r="Q539" s="60"/>
    </row>
    <row r="540" spans="17:17" ht="18" customHeight="1" ns2:dyDescent="0.3">
      <c r="Q540" s="60"/>
    </row>
    <row r="541" spans="17:17" ht="18" customHeight="1" ns2:dyDescent="0.3">
      <c r="Q541" s="60"/>
    </row>
    <row r="542" spans="17:17" ht="18" customHeight="1" ns2:dyDescent="0.3">
      <c r="Q542" s="60"/>
    </row>
    <row r="543" spans="17:17" ht="18" customHeight="1" ns2:dyDescent="0.3">
      <c r="Q543" s="60"/>
    </row>
    <row r="544" spans="17:17" ht="18" customHeight="1" ns2:dyDescent="0.3">
      <c r="Q544" s="60"/>
    </row>
    <row r="545" spans="17:17" ht="18" customHeight="1" ns2:dyDescent="0.3">
      <c r="Q545" s="60"/>
    </row>
    <row r="546" spans="17:17" ht="18" customHeight="1" ns2:dyDescent="0.3">
      <c r="Q546" s="60"/>
    </row>
    <row r="547" spans="17:17" ht="18" customHeight="1" ns2:dyDescent="0.3">
      <c r="Q547" s="60"/>
    </row>
    <row r="548" spans="17:17" ht="18" customHeight="1" ns2:dyDescent="0.3">
      <c r="Q548" s="60"/>
    </row>
    <row r="549" spans="17:17" ht="18" customHeight="1" ns2:dyDescent="0.3">
      <c r="Q549" s="60"/>
    </row>
    <row r="550" spans="17:17" ht="18" customHeight="1" ns2:dyDescent="0.3">
      <c r="Q550" s="60"/>
    </row>
    <row r="551" spans="17:17" ht="18" customHeight="1" ns2:dyDescent="0.3">
      <c r="Q551" s="60"/>
    </row>
    <row r="552" spans="17:17" ht="18" customHeight="1" ns2:dyDescent="0.3">
      <c r="Q552" s="60"/>
    </row>
    <row r="553" spans="17:17" ht="18" customHeight="1" ns2:dyDescent="0.3">
      <c r="Q553" s="60"/>
    </row>
    <row r="554" spans="17:17" ht="18" customHeight="1" ns2:dyDescent="0.3">
      <c r="Q554" s="60"/>
    </row>
    <row r="555" spans="17:17" ht="18" customHeight="1" ns2:dyDescent="0.3">
      <c r="Q555" s="60"/>
    </row>
    <row r="556" spans="17:17" ht="18" customHeight="1" ns2:dyDescent="0.3">
      <c r="Q556" s="60"/>
    </row>
    <row r="557" spans="17:17" ht="18" customHeight="1" ns2:dyDescent="0.3">
      <c r="Q557" s="60"/>
    </row>
    <row r="558" spans="17:17" ht="18" customHeight="1" ns2:dyDescent="0.3">
      <c r="Q558" s="60"/>
    </row>
    <row r="559" spans="17:17" ht="18" customHeight="1" ns2:dyDescent="0.3">
      <c r="Q559" s="60"/>
    </row>
    <row r="560" spans="17:17" ht="18" customHeight="1" ns2:dyDescent="0.3">
      <c r="Q560" s="60"/>
    </row>
    <row r="561" spans="17:17" ht="18" customHeight="1" ns2:dyDescent="0.3">
      <c r="Q561" s="60"/>
    </row>
    <row r="562" spans="17:17" ht="18" customHeight="1" ns2:dyDescent="0.3">
      <c r="Q562" s="60"/>
    </row>
    <row r="563" spans="17:17" ht="18" customHeight="1" ns2:dyDescent="0.3">
      <c r="Q563" s="60"/>
    </row>
    <row r="564" spans="17:17" ht="18" customHeight="1" ns2:dyDescent="0.3">
      <c r="Q564" s="60"/>
    </row>
    <row r="565" spans="17:17" ht="18" customHeight="1" ns2:dyDescent="0.3">
      <c r="Q565" s="60"/>
    </row>
    <row r="566" spans="17:17" ht="18" customHeight="1" ns2:dyDescent="0.3">
      <c r="Q566" s="60"/>
    </row>
    <row r="567" spans="17:17" ht="18" customHeight="1" ns2:dyDescent="0.3">
      <c r="Q567" s="60"/>
    </row>
    <row r="568" spans="17:17" ht="18" customHeight="1" ns2:dyDescent="0.3">
      <c r="Q568" s="60"/>
    </row>
  </sheetData>
  <sheetProtection insertRows="0" deleteRows="0" sort="0" autoFilter="0" pivotTables="0"/>
  <customSheetViews>
    <customSheetView guid="{9B185263-2BD9-4D2A-A382-CDCDF12F5EF0}" scale="95" showPageBreaks="1" view="pageBreakPreview">
      <selection activeCell="C25" sqref="C25"/>
    </customSheetView>
  </customSheetViews>
  <mergeCells count="15">
    <mergeCell ref="H1:O1"/>
    <mergeCell ref="I2:I3"/>
    <mergeCell ref="J2:J3"/>
    <mergeCell ref="A2:A3"/>
    <mergeCell ref="C2:C3"/>
    <mergeCell ref="D2:D3"/>
    <mergeCell ref="H2:H3"/>
    <mergeCell ref="E2:G2"/>
    <mergeCell ref="B2:B3"/>
    <mergeCell ref="S2:S3"/>
    <mergeCell ref="R2:R3"/>
    <mergeCell ref="K2:M2"/>
    <mergeCell ref="N2:O2"/>
    <mergeCell ref="Q2:Q3"/>
    <mergeCell ref="P2:P3"/>
  </mergeCells>
  <dataValidations count="6">
    <dataValidation type="decimal" errorStyle="warning" allowBlank="1" showInputMessage="1" showErrorMessage="1" errorTitle="تنبيه:" error="الرجاء اختيار عام صحيح مثال: 1994" sqref="G11:G188 M11:M155">
      <formula1>1900</formula1>
      <formula2>2200</formula2>
    </dataValidation>
    <dataValidation type="decimal" errorStyle="warning" allowBlank="1" showInputMessage="1" showErrorMessage="1" errorTitle="تنبيه:" error="الرجاء اختيار شهر صحيح بين 1-12" sqref="F11:F188 L11:L155">
      <formula1>1</formula1>
      <formula2>12</formula2>
    </dataValidation>
    <dataValidation type="decimal" errorStyle="warning" allowBlank="1" showInputMessage="1" showErrorMessage="1" errorTitle="تنبيه" error="الرجاء اختيار يوم صحيح بين 1-31" sqref="E11:E188 K11:K155">
      <formula1>1</formula1>
      <formula2>31</formula2>
    </dataValidation>
    <dataValidation type="decimal" errorStyle="warning" allowBlank="1" showInputMessage="1" showErrorMessage="1" errorTitle="تنبيه" error="الرجاء كتابة العام فقط وبشكل كامل مثال: 1994" promptTitle="تنبيه:" prompt="الرجاء كتابة العام بشكل كامل_x000a_مثال: 1994" sqref="I11:I174">
      <formula1>1900</formula1>
      <formula2>2400</formula2>
    </dataValidation>
    <dataValidation type="decimal" allowBlank="1" showInputMessage="1" showErrorMessage="1" errorTitle="تنبيه:" error="الرجاء اختيار رقم موبايل صحيح مكون من عشرة ارقام." sqref="N11:N181">
      <formula1>900000000</formula1>
      <formula2>999999999</formula2>
    </dataValidation>
    <dataValidation operator="greaterThan" allowBlank="1" showInputMessage="1" showErrorMessage="1" sqref="B1:B3 B11:B1048576"/>
  </dataValidations>
  <pageMargins left="0.196850393700787" right="0.196850393700787" top="0" bottom="0.98425196850393704" header="0" footer="0.39370078740157499"/>
  <headerFooter scaleWithDoc="0" alignWithMargins="0">
    <oddHeader>&amp;C&amp;G</oddHeader>
    <oddFooter>&amp;C &amp;P-&amp;N</oddFooter>
  </headerFooter>
  <extLst>
    <ext uri="{CCE6A557-97BC-4b89-ADB6-D9C93CAAB3DF}">
      <ns4:dataValidations count="6">
        <ns4:dataValidation type="list" allowBlank="1" showInputMessage="1" showErrorMessage="1">
          <ns4:formula1>
            <ns5:f>قوائم!$G$2:$G$5</ns5:f>
          </ns4:formula1>
          <ns5:sqref>J11:J168</ns5:sqref>
        </ns4:dataValidation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_x000a_وفي حالة عدم وجود الخيار الصحيح يرجى كتابته يدوياً">
          <ns4:formula1>
            <ns5:f>قوائم!$E$9:$E$14</ns5:f>
          </ns4:formula1>
          <ns5:sqref>H11:H407</ns5:sqref>
        </ns4:dataValidation>
        <ns4:dataValidation type="list" allowBlank="1" showInputMessage="1" showErrorMessage="1" promptTitle="تنبيه" prompt="الرجاء اختيار نوع الاجازة._x000a_">
          <ns4:formula1>
            <ns5:f>قوائم!$L$2:$L$5</ns5:f>
          </ns4:formula1>
          <ns5:sqref>Q4:Q1048576</ns5:sqref>
        </ns4:dataValidation>
        <ns4:dataValidation type="list" allowBlank="1" showInputMessage="1" showErrorMessage="1">
          <ns4:formula1>
            <ns5:f>قوائم!$J$2:$J$4</ns5:f>
          </ns4:formula1>
          <ns5:sqref>R4:R1048576</ns5:sqref>
        </ns4:dataValidation>
        <ns4:dataValidation type="list" allowBlank="1" showInputMessage="1" showErrorMessage="1">
          <ns4:formula1>
            <ns5:f>'C:\Users\ASUS\Downloads\Telegram Desktop\[بيان_شهر_كانون_الثاني_مدرسة_طارق_بن_زياد.xlsx]قوائم'!#REF!</ns5:f>
          </ns4:formula1>
          <ns5:sqref>J4:J10</ns5:sqref>
        </ns4:dataValidation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H4:H10</ns5:sqref>
        </ns4:dataValidation>
      </ns4:dataValidations>
    </ext>
  </extLst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xmlns:ns4="http://schemas.microsoft.com/office/spreadsheetml/2009/9/main" xmlns:ns5="http://schemas.microsoft.com/office/excel/2006/main" ns1:Ignorable="x14ac">
  <sheetPr codeName="Worksheet____7">
    <tabColor rgb="FF00B050"/>
    <pageSetUpPr fitToPage="1"/>
  </sheetPr>
  <dimension ref="A1:AE39"/>
  <sheetViews>
    <sheetView rightToLeft="1" view="pageBreakPreview" topLeftCell="A6" zoomScale="67" zoomScaleNormal="75" zoomScaleSheetLayoutView="93" workbookViewId="0">
      <selection activeCell="S20" sqref="S20"/>
    </sheetView>
  </sheetViews>
  <sheetFormatPr defaultColWidth="10.6640625" defaultRowHeight="26.1" customHeight="1" ns2:dyDescent="0.3"/>
  <cols>
    <col min="1" max="1" width="5.109375" style="46" customWidth="1"/>
    <col min="2" max="2" width="22.88671875" style="46" customWidth="1"/>
    <col min="3" max="3" width="25.88671875" style="46" customWidth="1"/>
    <col min="4" max="4" width="10.109375" style="46" customWidth="1"/>
    <col min="5" max="5" width="7.109375" style="46" customWidth="1"/>
    <col min="6" max="6" width="10.109375" style="46" customWidth="1"/>
    <col min="7" max="7" width="9" style="46" customWidth="1"/>
    <col min="8" max="8" width="11.21875" style="46" customWidth="1"/>
    <col min="9" max="9" width="10.88671875" style="46" customWidth="1"/>
    <col min="10" max="10" width="10.21875" style="46" customWidth="1"/>
    <col min="11" max="11" width="10" style="46" customWidth="1"/>
    <col min="12" max="12" width="6.44140625" style="46" customWidth="1"/>
    <col min="13" max="13" width="9.21875" style="46" customWidth="1"/>
    <col min="14" max="14" width="8.109375" style="46" customWidth="1"/>
    <col min="15" max="16" width="6" style="46" customWidth="1"/>
    <col min="17" max="17" width="8" style="46" customWidth="1"/>
    <col min="18" max="18" width="8.109375" style="46" customWidth="1"/>
    <col min="19" max="19" width="10" style="46" customWidth="1"/>
    <col min="20" max="20" width="10.33203125" style="46" customWidth="1"/>
    <col min="21" max="21" width="11.44140625" style="46" customWidth="1"/>
    <col min="22" max="22" width="10.6640625" style="46" customWidth="1"/>
    <col min="23" max="23" width="7.21875" style="46" customWidth="1"/>
    <col min="24" max="24" width="9.21875" style="46" customWidth="1"/>
    <col min="25" max="25" width="14" style="46" customWidth="1"/>
    <col min="26" max="16384" width="10.6640625" style="46"/>
  </cols>
  <sheetData>
    <row r="1" spans="1:31" s="259" customFormat="1" ht="25.5" customHeight="1" ns2:dyDescent="0.3">
      <c r="A1" s="641" t="str">
        <f>قوائم!I9&amp;" "&amp;البيان!$K$7</f>
        <v>جدول التعديلات الطارئة على بيان مدرسة:  طارق بن زياد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258"/>
      <c r="AA1" s="258"/>
      <c r="AB1" s="258"/>
      <c r="AC1" s="258"/>
      <c r="AD1" s="258"/>
      <c r="AE1" s="258"/>
    </row>
    <row r="2" spans="1:31" s="259" customFormat="1" ht="26.1" customHeight="1" thickBot="1" ns2:dyDescent="0.35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258"/>
      <c r="AA2" s="258"/>
      <c r="AB2" s="258"/>
      <c r="AC2" s="258"/>
      <c r="AD2" s="258"/>
      <c r="AE2" s="258"/>
    </row>
    <row r="3" spans="1:31" ht="26.1" customHeight="1" thickBot="1" ns2:dyDescent="0.35">
      <c r="A3" s="603" t="s">
        <v>554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5"/>
      <c r="O3" s="45"/>
      <c r="P3" s="621" t="s">
        <v>555</v>
      </c>
      <c r="Q3" s="622"/>
      <c r="R3" s="622"/>
      <c r="S3" s="622"/>
      <c r="T3" s="622"/>
      <c r="U3" s="622"/>
      <c r="V3" s="622"/>
      <c r="W3" s="622"/>
      <c r="X3" s="623"/>
      <c r="Y3" s="45"/>
    </row>
    <row r="4" spans="1:31" ht="26.1" customHeight="1" thickBot="1" ns2:dyDescent="0.35"/>
    <row r="5" spans="1:31" ht="26.1" customHeight="1" thickBot="1" ns2:dyDescent="0.35">
      <c r="A5" s="606" t="s">
        <v>53</v>
      </c>
      <c r="B5" s="607"/>
      <c r="C5" s="624"/>
      <c r="D5" s="606" t="s">
        <v>54</v>
      </c>
      <c r="E5" s="607"/>
      <c r="F5" s="607"/>
      <c r="G5" s="607"/>
      <c r="H5" s="608" t="s">
        <v>26</v>
      </c>
      <c r="I5" s="609"/>
      <c r="J5" s="610"/>
      <c r="K5" s="47" t="s">
        <v>27</v>
      </c>
      <c r="L5" s="606" t="s">
        <v>5</v>
      </c>
      <c r="M5" s="607"/>
      <c r="N5" s="607"/>
      <c r="O5" s="607"/>
      <c r="P5" s="624"/>
      <c r="Q5" s="606" t="s">
        <v>150</v>
      </c>
      <c r="R5" s="663"/>
      <c r="S5" s="664"/>
      <c r="T5" s="625" t="s">
        <v>124</v>
      </c>
      <c r="U5" s="626"/>
      <c r="V5" s="606" t="s">
        <v>25</v>
      </c>
      <c r="W5" s="607"/>
      <c r="X5" s="624"/>
      <c r="Y5" s="45"/>
      <c r="Z5" s="45"/>
    </row>
    <row r="6" spans="1:31" ht="26.1" customHeight="1" thickBot="1" ns2:dyDescent="0.35">
      <c r="A6" s="635"/>
      <c r="B6" s="636"/>
      <c r="C6" s="637"/>
      <c r="D6" s="635"/>
      <c r="E6" s="636"/>
      <c r="F6" s="636"/>
      <c r="G6" s="636"/>
      <c r="H6" s="629"/>
      <c r="I6" s="630"/>
      <c r="J6" s="631"/>
      <c r="K6" s="696"/>
      <c r="L6" s="629"/>
      <c r="M6" s="630"/>
      <c r="N6" s="630"/>
      <c r="O6" s="630"/>
      <c r="P6" s="631"/>
      <c r="Q6" s="657"/>
      <c r="R6" s="658"/>
      <c r="S6" s="659"/>
      <c r="T6" s="48" t="s">
        <v>122</v>
      </c>
      <c r="U6" s="49" t="s">
        <v>123</v>
      </c>
      <c r="V6" s="50" t="s">
        <v>84</v>
      </c>
      <c r="W6" s="51" t="s">
        <v>85</v>
      </c>
      <c r="X6" s="50" t="s">
        <v>121</v>
      </c>
      <c r="Y6" s="45"/>
      <c r="Z6" s="45"/>
    </row>
    <row r="7" spans="1:31" ht="26.1" customHeight="1" thickBot="1" ns2:dyDescent="0.35">
      <c r="A7" s="638"/>
      <c r="B7" s="639"/>
      <c r="C7" s="640"/>
      <c r="D7" s="638"/>
      <c r="E7" s="639"/>
      <c r="F7" s="639"/>
      <c r="G7" s="639"/>
      <c r="H7" s="632"/>
      <c r="I7" s="633"/>
      <c r="J7" s="634"/>
      <c r="K7" s="697"/>
      <c r="L7" s="632"/>
      <c r="M7" s="633"/>
      <c r="N7" s="633"/>
      <c r="O7" s="633"/>
      <c r="P7" s="634"/>
      <c r="Q7" s="660"/>
      <c r="R7" s="661"/>
      <c r="S7" s="662"/>
      <c r="T7" s="52"/>
      <c r="U7" s="53"/>
      <c r="V7" s="52"/>
      <c r="W7" s="52"/>
      <c r="X7" s="52"/>
    </row>
    <row r="8" spans="1:31" ht="26.1" customHeight="1" thickBot="1" ns2:dyDescent="0.35">
      <c r="A8" s="611" t="s">
        <v>132</v>
      </c>
      <c r="B8" s="611"/>
      <c r="C8" s="611"/>
      <c r="D8" s="611"/>
      <c r="E8" s="611"/>
      <c r="F8" s="611"/>
      <c r="G8" s="611"/>
      <c r="H8" s="611"/>
      <c r="I8" s="611"/>
      <c r="J8" s="611"/>
      <c r="K8" s="611"/>
      <c r="L8" s="611"/>
      <c r="M8" s="611"/>
      <c r="N8" s="611"/>
      <c r="O8" s="611"/>
      <c r="P8" s="611"/>
      <c r="Q8" s="611"/>
      <c r="R8" s="611"/>
      <c r="S8" s="611"/>
      <c r="T8" s="612"/>
      <c r="U8" s="612"/>
      <c r="V8" s="612"/>
      <c r="W8" s="612"/>
      <c r="X8" s="612"/>
      <c r="Y8" s="223"/>
      <c r="Z8" s="45"/>
    </row>
    <row r="9" spans="1:31" s="21" customFormat="1" ht="39" customHeight="1" thickBot="1" ns2:dyDescent="0.35">
      <c r="A9" s="613" t="s">
        <v>1</v>
      </c>
      <c r="B9" s="667" t="s">
        <v>180</v>
      </c>
      <c r="C9" s="615" t="s">
        <v>4</v>
      </c>
      <c r="D9" s="617" t="s">
        <v>91</v>
      </c>
      <c r="E9" s="709" t="s">
        <v>0</v>
      </c>
      <c r="F9" s="709"/>
      <c r="G9" s="709"/>
      <c r="H9" s="619" t="s">
        <v>153</v>
      </c>
      <c r="I9" s="619" t="s">
        <v>2</v>
      </c>
      <c r="J9" s="619" t="s">
        <v>3</v>
      </c>
      <c r="K9" s="619" t="s">
        <v>127</v>
      </c>
      <c r="L9" s="619" t="s">
        <v>33</v>
      </c>
      <c r="M9" s="650" t="s">
        <v>184</v>
      </c>
      <c r="N9" s="651"/>
      <c r="O9" s="652"/>
      <c r="P9" s="627" t="s">
        <v>35</v>
      </c>
      <c r="Q9" s="628"/>
      <c r="R9" s="577" t="s">
        <v>149</v>
      </c>
      <c r="S9" s="579" t="s">
        <v>126</v>
      </c>
      <c r="T9" s="579" t="s">
        <v>290</v>
      </c>
      <c r="U9" s="579" t="s">
        <v>289</v>
      </c>
      <c r="V9" s="580"/>
      <c r="W9" s="581"/>
      <c r="X9" s="224"/>
      <c r="Y9" s="224"/>
      <c r="Z9" s="225"/>
    </row>
    <row r="10" spans="1:31" s="21" customFormat="1" ht="22.5" customHeight="1" thickBot="1" ns2:dyDescent="0.35">
      <c r="A10" s="614"/>
      <c r="B10" s="668"/>
      <c r="C10" s="616"/>
      <c r="D10" s="618"/>
      <c r="E10" s="226" t="s">
        <v>181</v>
      </c>
      <c r="F10" s="226" t="s">
        <v>182</v>
      </c>
      <c r="G10" s="226" t="s">
        <v>183</v>
      </c>
      <c r="H10" s="620"/>
      <c r="I10" s="620"/>
      <c r="J10" s="620"/>
      <c r="K10" s="620"/>
      <c r="L10" s="620"/>
      <c r="M10" s="227" t="s">
        <v>39</v>
      </c>
      <c r="N10" s="228" t="s">
        <v>40</v>
      </c>
      <c r="O10" s="228" t="s">
        <v>41</v>
      </c>
      <c r="P10" s="229" t="s">
        <v>61</v>
      </c>
      <c r="Q10" s="230" t="s">
        <v>42</v>
      </c>
      <c r="R10" s="674"/>
      <c r="S10" s="582"/>
      <c r="T10" s="582"/>
      <c r="U10" s="582"/>
      <c r="V10" s="583"/>
      <c r="W10" s="584"/>
      <c r="X10" s="224"/>
      <c r="Y10" s="224"/>
      <c r="Z10" s="225"/>
    </row>
    <row r="11" spans="1:31" ht="26.1" customHeight="1" ns2:dyDescent="0.3">
      <c r="A11" s="231"/>
      <c r="B11" s="306"/>
      <c r="C11" s="307"/>
      <c r="D11" s="308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60"/>
      <c r="Q11" s="307"/>
      <c r="R11" s="308"/>
      <c r="S11" s="234"/>
      <c r="T11" s="235"/>
      <c r="U11" s="596"/>
      <c r="V11" s="597"/>
      <c r="W11" s="598"/>
      <c r="X11" s="237"/>
      <c r="Y11" s="238"/>
    </row>
    <row r="12" spans="1:31" ht="26.1" customHeight="1" ns2:dyDescent="0.3">
      <c r="A12" s="231"/>
      <c r="B12" s="232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2"/>
      <c r="S12" s="234"/>
      <c r="T12" s="235"/>
      <c r="U12" s="599"/>
      <c r="V12" s="587"/>
      <c r="W12" s="588"/>
      <c r="X12" s="237"/>
      <c r="Y12" s="238"/>
    </row>
    <row r="13" spans="1:31" ht="26.1" customHeight="1" thickBot="1" ns2:dyDescent="0.35">
      <c r="A13" s="240"/>
      <c r="B13" s="241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1"/>
      <c r="S13" s="243"/>
      <c r="T13" s="244"/>
      <c r="U13" s="600"/>
      <c r="V13" s="601"/>
      <c r="W13" s="602"/>
      <c r="X13" s="237"/>
    </row>
    <row r="14" spans="1:31" s="223" customFormat="1" ht="26.1" customHeight="1" thickBot="1" ns2:dyDescent="0.35">
      <c r="A14" s="607" t="s">
        <v>95</v>
      </c>
      <c r="B14" s="607"/>
      <c r="C14" s="607"/>
      <c r="D14" s="607"/>
      <c r="E14" s="607"/>
      <c r="F14" s="607"/>
      <c r="G14" s="607"/>
      <c r="H14" s="607"/>
      <c r="I14" s="607"/>
      <c r="J14" s="607"/>
      <c r="K14" s="607"/>
      <c r="L14" s="607"/>
      <c r="M14" s="607"/>
      <c r="N14" s="607"/>
      <c r="O14" s="607"/>
      <c r="P14" s="607"/>
      <c r="Q14" s="607"/>
      <c r="R14" s="607"/>
      <c r="S14" s="607"/>
      <c r="T14" s="611"/>
      <c r="U14" s="611"/>
      <c r="V14" s="611"/>
      <c r="W14" s="611"/>
      <c r="X14" s="611"/>
    </row>
    <row r="15" spans="1:31" s="20" customFormat="1" ht="45.75" customHeight="1" thickBot="1" ns2:dyDescent="0.35">
      <c r="A15" s="613" t="s">
        <v>1</v>
      </c>
      <c r="B15" s="667" t="s">
        <v>180</v>
      </c>
      <c r="C15" s="672" t="s">
        <v>4</v>
      </c>
      <c r="D15" s="615" t="s">
        <v>91</v>
      </c>
      <c r="E15" s="706" t="s">
        <v>0</v>
      </c>
      <c r="F15" s="707"/>
      <c r="G15" s="708"/>
      <c r="H15" s="653" t="s">
        <v>128</v>
      </c>
      <c r="I15" s="684" t="s">
        <v>2</v>
      </c>
      <c r="J15" s="704" t="s">
        <v>3</v>
      </c>
      <c r="K15" s="577" t="s">
        <v>125</v>
      </c>
      <c r="L15" s="682" t="s">
        <v>57</v>
      </c>
      <c r="M15" s="653" t="s">
        <v>58</v>
      </c>
      <c r="N15" s="653" t="s">
        <v>59</v>
      </c>
      <c r="O15" s="619" t="s">
        <v>28</v>
      </c>
      <c r="P15" s="619" t="s">
        <v>82</v>
      </c>
      <c r="Q15" s="689" t="s">
        <v>60</v>
      </c>
      <c r="R15" s="690"/>
      <c r="S15" s="691"/>
      <c r="T15" s="692" t="s">
        <v>35</v>
      </c>
      <c r="U15" s="693"/>
      <c r="V15" s="619" t="s">
        <v>149</v>
      </c>
      <c r="W15" s="694" t="s">
        <v>126</v>
      </c>
      <c r="X15" s="577" t="s">
        <v>290</v>
      </c>
      <c r="Y15" s="577" t="s">
        <v>289</v>
      </c>
    </row>
    <row r="16" spans="1:31" s="20" customFormat="1" ht="23.25" customHeight="1" thickBot="1" ns2:dyDescent="0.35">
      <c r="A16" s="614"/>
      <c r="B16" s="668"/>
      <c r="C16" s="673"/>
      <c r="D16" s="616"/>
      <c r="E16" s="245" t="s">
        <v>181</v>
      </c>
      <c r="F16" s="245" t="s">
        <v>182</v>
      </c>
      <c r="G16" s="245" t="s">
        <v>183</v>
      </c>
      <c r="H16" s="654"/>
      <c r="I16" s="685"/>
      <c r="J16" s="705"/>
      <c r="K16" s="674"/>
      <c r="L16" s="683"/>
      <c r="M16" s="654"/>
      <c r="N16" s="654"/>
      <c r="O16" s="620"/>
      <c r="P16" s="620"/>
      <c r="Q16" s="227" t="s">
        <v>39</v>
      </c>
      <c r="R16" s="228" t="s">
        <v>40</v>
      </c>
      <c r="S16" s="228" t="s">
        <v>41</v>
      </c>
      <c r="T16" s="228" t="s">
        <v>61</v>
      </c>
      <c r="U16" s="246" t="s">
        <v>42</v>
      </c>
      <c r="V16" s="620"/>
      <c r="W16" s="695"/>
      <c r="X16" s="578"/>
      <c r="Y16" s="578"/>
    </row>
    <row r="17" spans="1:26" ht="26.25" customHeight="1" ns2:dyDescent="0.3">
      <c r="A17" s="231"/>
      <c r="B17" s="272"/>
      <c r="C17" s="28"/>
      <c r="D17" s="28"/>
      <c r="E17" s="28"/>
      <c r="F17" s="28"/>
      <c r="G17" s="28"/>
      <c r="H17" s="59"/>
      <c r="I17" s="28"/>
      <c r="J17" s="28"/>
      <c r="K17" s="28"/>
      <c r="L17" s="28"/>
      <c r="M17" s="247"/>
      <c r="N17" s="247"/>
      <c r="O17" s="247"/>
      <c r="P17" s="247"/>
      <c r="Q17" s="28"/>
      <c r="R17" s="28"/>
      <c r="S17" s="28"/>
      <c r="T17" s="141"/>
      <c r="U17" s="28"/>
      <c r="V17" s="28"/>
      <c r="W17" s="239"/>
      <c r="X17" s="260"/>
      <c r="Y17" s="233"/>
    </row>
    <row r="18" spans="1:26" ht="24" customHeight="1" ns2:dyDescent="0.3">
      <c r="A18" s="231"/>
      <c r="B18" s="272"/>
      <c r="C18" s="28"/>
      <c r="D18" s="28"/>
      <c r="E18" s="28"/>
      <c r="F18" s="28"/>
      <c r="G18" s="28"/>
      <c r="H18" s="59"/>
      <c r="I18" s="28"/>
      <c r="J18" s="28"/>
      <c r="K18" s="28"/>
      <c r="L18" s="28"/>
      <c r="M18" s="247"/>
      <c r="N18" s="247"/>
      <c r="O18" s="247"/>
      <c r="P18" s="247"/>
      <c r="Q18" s="28"/>
      <c r="R18" s="28"/>
      <c r="S18" s="28"/>
      <c r="T18" s="141"/>
      <c r="U18" s="28"/>
      <c r="V18" s="28"/>
      <c r="W18" s="239"/>
      <c r="X18" s="260"/>
      <c r="Y18" s="233"/>
    </row>
    <row r="19" spans="1:26" ht="24.75" customHeight="1" ns2:dyDescent="0.3">
      <c r="A19" s="231"/>
      <c r="B19" s="272"/>
      <c r="C19" s="28"/>
      <c r="D19" s="28"/>
      <c r="E19" s="28"/>
      <c r="F19" s="28"/>
      <c r="G19" s="28"/>
      <c r="H19" s="59"/>
      <c r="I19" s="28"/>
      <c r="J19" s="28"/>
      <c r="K19" s="28"/>
      <c r="L19" s="28"/>
      <c r="M19" s="247"/>
      <c r="N19" s="247"/>
      <c r="O19" s="247"/>
      <c r="P19" s="247"/>
      <c r="Q19" s="28"/>
      <c r="R19" s="28"/>
      <c r="S19" s="28"/>
      <c r="T19" s="141"/>
      <c r="U19" s="28"/>
      <c r="V19" s="28"/>
      <c r="W19" s="239"/>
      <c r="X19" s="260"/>
      <c r="Y19" s="233"/>
    </row>
    <row r="20" spans="1:26" ht="26.1" customHeight="1" ns2:dyDescent="0.3">
      <c r="A20" s="231"/>
      <c r="B20" s="232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4"/>
      <c r="V20" s="239"/>
      <c r="W20" s="239"/>
      <c r="X20" s="260"/>
      <c r="Y20" s="239"/>
    </row>
    <row r="21" spans="1:26" ht="26.1" customHeight="1" thickBot="1" ns2:dyDescent="0.35">
      <c r="A21" s="611" t="s">
        <v>140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45"/>
      <c r="Z21" s="45"/>
    </row>
    <row r="22" spans="1:26" ht="37.5" customHeight="1" ns2:dyDescent="0.3">
      <c r="A22" s="648" t="s">
        <v>1</v>
      </c>
      <c r="B22" s="655" t="s">
        <v>180</v>
      </c>
      <c r="C22" s="655" t="s">
        <v>4</v>
      </c>
      <c r="D22" s="655" t="s">
        <v>91</v>
      </c>
      <c r="E22" s="679" t="s">
        <v>0</v>
      </c>
      <c r="F22" s="680"/>
      <c r="G22" s="681"/>
      <c r="H22" s="655" t="s">
        <v>128</v>
      </c>
      <c r="I22" s="655" t="s">
        <v>2</v>
      </c>
      <c r="J22" s="655" t="s">
        <v>3</v>
      </c>
      <c r="K22" s="675" t="s">
        <v>127</v>
      </c>
      <c r="L22" s="676"/>
      <c r="M22" s="703" t="s">
        <v>60</v>
      </c>
      <c r="N22" s="643"/>
      <c r="O22" s="643"/>
      <c r="P22" s="655" t="s">
        <v>35</v>
      </c>
      <c r="Q22" s="679"/>
      <c r="R22" s="672" t="s">
        <v>83</v>
      </c>
      <c r="S22" s="687" t="s">
        <v>120</v>
      </c>
      <c r="T22" s="665" t="s">
        <v>137</v>
      </c>
      <c r="U22" s="589" t="s">
        <v>136</v>
      </c>
      <c r="V22" s="642" t="s">
        <v>156</v>
      </c>
      <c r="W22" s="643"/>
      <c r="X22" s="644"/>
      <c r="Y22" s="45"/>
    </row>
    <row r="23" spans="1:26" ht="26.1" customHeight="1" thickBot="1" ns2:dyDescent="0.35">
      <c r="A23" s="649"/>
      <c r="B23" s="656"/>
      <c r="C23" s="656"/>
      <c r="D23" s="656"/>
      <c r="E23" s="248"/>
      <c r="F23" s="248"/>
      <c r="G23" s="248"/>
      <c r="H23" s="656"/>
      <c r="I23" s="656"/>
      <c r="J23" s="656"/>
      <c r="K23" s="677"/>
      <c r="L23" s="678"/>
      <c r="M23" s="249" t="s">
        <v>39</v>
      </c>
      <c r="N23" s="249" t="s">
        <v>40</v>
      </c>
      <c r="O23" s="249" t="s">
        <v>41</v>
      </c>
      <c r="P23" s="249" t="s">
        <v>61</v>
      </c>
      <c r="Q23" s="250" t="s">
        <v>42</v>
      </c>
      <c r="R23" s="673"/>
      <c r="S23" s="688"/>
      <c r="T23" s="666"/>
      <c r="U23" s="590"/>
      <c r="V23" s="645"/>
      <c r="W23" s="646"/>
      <c r="X23" s="647"/>
      <c r="Y23" s="45"/>
    </row>
    <row r="24" spans="1:26" ht="26.1" customHeight="1" ns2:dyDescent="0.3">
      <c r="A24" s="236"/>
      <c r="B24" s="306"/>
      <c r="C24" s="308"/>
      <c r="D24" s="308"/>
      <c r="E24" s="308"/>
      <c r="F24" s="308"/>
      <c r="G24" s="308"/>
      <c r="H24" s="348"/>
      <c r="I24" s="251"/>
      <c r="J24" s="251"/>
      <c r="K24" s="669"/>
      <c r="L24" s="670"/>
      <c r="M24" s="308"/>
      <c r="N24" s="308"/>
      <c r="O24" s="308"/>
      <c r="P24" s="307"/>
      <c r="Q24" s="349"/>
      <c r="R24" s="349"/>
      <c r="S24" s="251"/>
      <c r="T24" s="251"/>
      <c r="U24" s="252"/>
      <c r="V24" s="593"/>
      <c r="W24" s="594"/>
      <c r="X24" s="595"/>
    </row>
    <row r="25" spans="1:26" ht="26.1" customHeight="1" ns2:dyDescent="0.3">
      <c r="A25" s="231"/>
      <c r="B25" s="232"/>
      <c r="C25" s="233"/>
      <c r="D25" s="233"/>
      <c r="E25" s="233"/>
      <c r="F25" s="233"/>
      <c r="G25" s="233"/>
      <c r="H25" s="233"/>
      <c r="I25" s="233"/>
      <c r="J25" s="233"/>
      <c r="K25" s="586"/>
      <c r="L25" s="671"/>
      <c r="M25" s="233"/>
      <c r="N25" s="233"/>
      <c r="O25" s="233"/>
      <c r="P25" s="233"/>
      <c r="Q25" s="233"/>
      <c r="R25" s="233"/>
      <c r="S25" s="233"/>
      <c r="T25" s="233"/>
      <c r="U25" s="234"/>
      <c r="V25" s="586"/>
      <c r="W25" s="587"/>
      <c r="X25" s="588"/>
    </row>
    <row r="26" spans="1:26" ht="26.1" customHeight="1" ns2:dyDescent="0.3">
      <c r="A26" s="231"/>
      <c r="B26" s="232"/>
      <c r="C26" s="233"/>
      <c r="D26" s="233"/>
      <c r="E26" s="233"/>
      <c r="F26" s="233"/>
      <c r="G26" s="233"/>
      <c r="H26" s="233"/>
      <c r="I26" s="233"/>
      <c r="J26" s="233"/>
      <c r="K26" s="586"/>
      <c r="L26" s="671"/>
      <c r="M26" s="233"/>
      <c r="N26" s="233"/>
      <c r="O26" s="233"/>
      <c r="P26" s="233"/>
      <c r="Q26" s="233"/>
      <c r="R26" s="233"/>
      <c r="S26" s="233"/>
      <c r="T26" s="233"/>
      <c r="U26" s="234"/>
      <c r="V26" s="586"/>
      <c r="W26" s="587"/>
      <c r="X26" s="588"/>
    </row>
    <row r="27" spans="1:26" ht="26.1" customHeight="1" ns2:dyDescent="0.3">
      <c r="A27" s="231"/>
      <c r="B27" s="232"/>
      <c r="C27" s="233"/>
      <c r="D27" s="233"/>
      <c r="E27" s="233"/>
      <c r="F27" s="233"/>
      <c r="G27" s="233"/>
      <c r="H27" s="233"/>
      <c r="I27" s="233"/>
      <c r="J27" s="233"/>
      <c r="K27" s="586"/>
      <c r="L27" s="671"/>
      <c r="M27" s="233"/>
      <c r="N27" s="233"/>
      <c r="O27" s="233"/>
      <c r="P27" s="233"/>
      <c r="Q27" s="233"/>
      <c r="R27" s="233"/>
      <c r="S27" s="233"/>
      <c r="T27" s="233"/>
      <c r="U27" s="234"/>
      <c r="V27" s="586"/>
      <c r="W27" s="587"/>
      <c r="X27" s="588"/>
    </row>
    <row r="28" spans="1:26" ht="26.1" customHeight="1" thickBot="1" ns2:dyDescent="0.35">
      <c r="A28" s="240"/>
      <c r="B28" s="241"/>
      <c r="C28" s="242"/>
      <c r="D28" s="242"/>
      <c r="E28" s="242"/>
      <c r="F28" s="242"/>
      <c r="G28" s="242"/>
      <c r="H28" s="242"/>
      <c r="I28" s="242"/>
      <c r="J28" s="242"/>
      <c r="K28" s="686"/>
      <c r="L28" s="710"/>
      <c r="M28" s="242"/>
      <c r="N28" s="242"/>
      <c r="O28" s="242"/>
      <c r="P28" s="242"/>
      <c r="Q28" s="242"/>
      <c r="R28" s="242"/>
      <c r="S28" s="242"/>
      <c r="T28" s="242"/>
      <c r="U28" s="243"/>
      <c r="V28" s="686"/>
      <c r="W28" s="601"/>
      <c r="X28" s="602"/>
    </row>
    <row r="29" spans="1:26" ht="26.1" customHeight="1" thickBot="1" ns2:dyDescent="0.35"/>
    <row r="30" spans="1:26" ht="26.1" customHeight="1" thickBot="1" ns2:dyDescent="0.35">
      <c r="C30" s="606" t="s">
        <v>145</v>
      </c>
      <c r="D30" s="607"/>
      <c r="E30" s="607"/>
      <c r="F30" s="607"/>
      <c r="G30" s="607"/>
      <c r="H30" s="607"/>
      <c r="I30" s="607"/>
      <c r="J30" s="607"/>
      <c r="K30" s="607"/>
      <c r="L30" s="607"/>
      <c r="M30" s="607"/>
      <c r="N30" s="607"/>
      <c r="O30" s="624"/>
    </row>
    <row r="31" spans="1:26" ht="26.1" customHeight="1" thickBot="1" ns2:dyDescent="0.35">
      <c r="C31" s="253"/>
      <c r="D31" s="47" t="s">
        <v>171</v>
      </c>
      <c r="E31" s="47" t="s">
        <v>14</v>
      </c>
      <c r="F31" s="47" t="s">
        <v>15</v>
      </c>
      <c r="G31" s="47" t="s">
        <v>16</v>
      </c>
      <c r="H31" s="47" t="s">
        <v>17</v>
      </c>
      <c r="I31" s="47" t="s">
        <v>18</v>
      </c>
      <c r="J31" s="47" t="s">
        <v>62</v>
      </c>
      <c r="K31" s="47" t="s">
        <v>65</v>
      </c>
      <c r="L31" s="47" t="s">
        <v>66</v>
      </c>
      <c r="M31" s="47" t="s">
        <v>67</v>
      </c>
      <c r="N31" s="606" t="s">
        <v>31</v>
      </c>
      <c r="O31" s="624"/>
      <c r="Q31" s="711" t="s">
        <v>277</v>
      </c>
      <c r="R31" s="712"/>
      <c r="S31" s="712"/>
      <c r="T31" s="712"/>
      <c r="U31" s="712"/>
      <c r="V31" s="712"/>
      <c r="W31" s="712"/>
      <c r="X31" s="713"/>
    </row>
    <row r="32" spans="1:26" ht="26.1" customHeight="1" thickBot="1" ns2:dyDescent="0.35">
      <c r="C32" s="47" t="s">
        <v>12</v>
      </c>
      <c r="D32" s="350"/>
      <c r="E32" s="350"/>
      <c r="F32" s="350"/>
      <c r="G32" s="350"/>
      <c r="H32" s="351"/>
      <c r="I32" s="351"/>
      <c r="J32" s="351"/>
      <c r="K32" s="351"/>
      <c r="L32" s="351"/>
      <c r="M32" s="351"/>
      <c r="N32" s="354">
        <f>SUM(D32:M32)</f>
        <v>22</v>
      </c>
      <c r="O32" s="355"/>
      <c r="Q32" s="714"/>
      <c r="R32" s="715"/>
      <c r="S32" s="715"/>
      <c r="T32" s="715"/>
      <c r="U32" s="715"/>
      <c r="V32" s="715"/>
      <c r="W32" s="715"/>
      <c r="X32" s="716"/>
    </row>
    <row r="33" spans="1:25" ht="26.1" customHeight="1" thickBot="1" ns2:dyDescent="0.35">
      <c r="C33" s="254" t="s">
        <v>146</v>
      </c>
      <c r="D33" s="352"/>
      <c r="E33" s="352"/>
      <c r="F33" s="352"/>
      <c r="G33" s="352"/>
      <c r="H33" s="353"/>
      <c r="I33" s="353"/>
      <c r="J33" s="353"/>
      <c r="K33" s="353"/>
      <c r="L33" s="353"/>
      <c r="M33" s="353"/>
      <c r="N33" s="356">
        <f>SUM(D33:M33)</f>
        <v>347</v>
      </c>
      <c r="O33" s="357"/>
      <c r="Q33" s="714"/>
      <c r="R33" s="715"/>
      <c r="S33" s="715"/>
      <c r="T33" s="715"/>
      <c r="U33" s="715"/>
      <c r="V33" s="715"/>
      <c r="W33" s="715"/>
      <c r="X33" s="716"/>
    </row>
    <row r="34" spans="1:25" ht="26.1" customHeight="1" thickBot="1" ns2:dyDescent="0.35">
      <c r="C34" s="254" t="s">
        <v>147</v>
      </c>
      <c r="D34" s="352"/>
      <c r="E34" s="352"/>
      <c r="F34" s="352"/>
      <c r="G34" s="352"/>
      <c r="H34" s="353"/>
      <c r="I34" s="353"/>
      <c r="J34" s="353"/>
      <c r="K34" s="353"/>
      <c r="L34" s="353"/>
      <c r="M34" s="353"/>
      <c r="N34" s="358">
        <f>SUM(D34:M34)</f>
        <v>358</v>
      </c>
      <c r="O34" s="359"/>
      <c r="Q34" s="717"/>
      <c r="R34" s="718"/>
      <c r="S34" s="718"/>
      <c r="T34" s="718"/>
      <c r="U34" s="718"/>
      <c r="V34" s="718"/>
      <c r="W34" s="718"/>
      <c r="X34" s="719"/>
    </row>
    <row r="35" spans="1:25" ht="26.1" customHeight="1" thickBot="1" ns2:dyDescent="0.35">
      <c r="C35" s="606" t="s">
        <v>148</v>
      </c>
      <c r="D35" s="607"/>
      <c r="E35" s="607"/>
      <c r="F35" s="607"/>
      <c r="G35" s="607"/>
      <c r="H35" s="607"/>
      <c r="I35" s="607"/>
      <c r="J35" s="624"/>
      <c r="K35" s="699">
        <f>SUM(N33:N34)</f>
        <v>705</v>
      </c>
      <c r="L35" s="700"/>
      <c r="M35" s="700"/>
      <c r="N35" s="700"/>
      <c r="O35" s="701"/>
    </row>
    <row r="37" spans="1:25" ht="26.1" customHeight="1" ns2:dyDescent="0.3">
      <c r="A37" s="255"/>
      <c r="B37" s="255"/>
      <c r="C37" s="592" t="s">
        <v>141</v>
      </c>
      <c r="D37" s="592"/>
      <c r="E37" s="256"/>
      <c r="F37" s="256"/>
      <c r="G37" s="256"/>
      <c r="H37" s="255"/>
      <c r="I37" s="255"/>
      <c r="J37" s="255"/>
      <c r="K37" s="255"/>
      <c r="P37" s="255"/>
      <c r="Q37" s="255"/>
      <c r="R37" s="592" t="s">
        <v>134</v>
      </c>
      <c r="S37" s="592"/>
      <c r="T37" s="592"/>
      <c r="U37" s="592"/>
      <c r="V37" s="585" t="s">
        <v>279</v>
      </c>
      <c r="W37" s="585"/>
      <c r="X37" s="585"/>
      <c r="Y37" s="257"/>
    </row>
    <row r="38" spans="1:25" ht="26.1" customHeight="1" ns2:dyDescent="0.3">
      <c r="A38" s="255"/>
      <c r="B38" s="255"/>
      <c r="C38" s="591" t="s">
        <v>165</v>
      </c>
      <c r="D38" s="591"/>
      <c r="H38" s="255"/>
      <c r="I38" s="255"/>
      <c r="J38" s="255"/>
      <c r="K38" s="255"/>
      <c r="P38" s="255"/>
      <c r="Q38" s="255"/>
      <c r="R38" s="591" t="s">
        <v>164</v>
      </c>
      <c r="S38" s="591"/>
      <c r="T38" s="591"/>
      <c r="U38" s="591"/>
      <c r="V38" s="585"/>
      <c r="W38" s="585"/>
      <c r="X38" s="585"/>
      <c r="Y38" s="257"/>
    </row>
    <row r="39" spans="1:25" ht="26.1" customHeight="1" ns2:dyDescent="0.3">
      <c r="A39" s="255"/>
      <c r="B39" s="255"/>
      <c r="C39" s="702"/>
      <c r="D39" s="702"/>
      <c r="E39" s="255"/>
      <c r="F39" s="255"/>
      <c r="G39" s="255"/>
      <c r="H39" s="255"/>
      <c r="I39" s="255"/>
      <c r="J39" s="255"/>
      <c r="K39" s="255"/>
      <c r="P39" s="255"/>
      <c r="Q39" s="255"/>
      <c r="R39" s="698"/>
      <c r="S39" s="591"/>
      <c r="T39" s="591"/>
      <c r="U39" s="591"/>
    </row>
  </sheetData>
  <sheetProtection formatCells="0" insertRows="0" deleteRows="0" sort="0"/>
  <customSheetViews>
    <customSheetView guid="{9B185263-2BD9-4D2A-A382-CDCDF12F5EF0}" scale="63" showPageBreaks="1" view="pageBreakPreview" topLeftCell="A31">
      <selection activeCell="A3" sqref="A3:K3"/>
    </customSheetView>
  </customSheetViews>
  <mergeCells count="97">
    <mergeCell ref="K26:L26"/>
    <mergeCell ref="K27:L27"/>
    <mergeCell ref="K28:L28"/>
    <mergeCell ref="C30:O30"/>
    <mergeCell ref="Q31:X34"/>
    <mergeCell ref="N31:O31"/>
    <mergeCell ref="K6:K7"/>
    <mergeCell ref="R39:U39"/>
    <mergeCell ref="D6:G7"/>
    <mergeCell ref="K35:O35"/>
    <mergeCell ref="C38:D38"/>
    <mergeCell ref="C39:D39"/>
    <mergeCell ref="J22:J23"/>
    <mergeCell ref="M22:O22"/>
    <mergeCell ref="L9:L10"/>
    <mergeCell ref="T9:T10"/>
    <mergeCell ref="S9:S10"/>
    <mergeCell ref="R9:R10"/>
    <mergeCell ref="C37:D37"/>
    <mergeCell ref="J15:J16"/>
    <mergeCell ref="E15:G15"/>
    <mergeCell ref="E9:G9"/>
    <mergeCell ref="C35:J35"/>
    <mergeCell ref="L15:L16"/>
    <mergeCell ref="I15:I16"/>
    <mergeCell ref="V28:X28"/>
    <mergeCell ref="A21:X21"/>
    <mergeCell ref="S22:S23"/>
    <mergeCell ref="M15:M16"/>
    <mergeCell ref="N15:N16"/>
    <mergeCell ref="O15:O16"/>
    <mergeCell ref="P15:P16"/>
    <mergeCell ref="Q15:S15"/>
    <mergeCell ref="T15:U15"/>
    <mergeCell ref="V15:V16"/>
    <mergeCell ref="W15:W16"/>
    <mergeCell ref="X15:X16"/>
    <mergeCell ref="A15:A16"/>
    <mergeCell ref="K24:L24"/>
    <mergeCell ref="K25:L25"/>
    <mergeCell ref="R22:R23"/>
    <mergeCell ref="A14:X14"/>
    <mergeCell ref="B15:B16"/>
    <mergeCell ref="B22:B23"/>
    <mergeCell ref="K15:K16"/>
    <mergeCell ref="D22:D23"/>
    <mergeCell ref="C15:C16"/>
    <mergeCell ref="D15:D16"/>
    <mergeCell ref="K22:L23"/>
    <mergeCell ref="E22:G22"/>
    <mergeCell ref="P22:Q22"/>
    <mergeCell ref="A1:Y2"/>
    <mergeCell ref="V22:X23"/>
    <mergeCell ref="A22:A23"/>
    <mergeCell ref="K9:K10"/>
    <mergeCell ref="J9:J10"/>
    <mergeCell ref="M9:O9"/>
    <mergeCell ref="H15:H16"/>
    <mergeCell ref="H22:H23"/>
    <mergeCell ref="I22:I23"/>
    <mergeCell ref="C22:C23"/>
    <mergeCell ref="Q6:S7"/>
    <mergeCell ref="Q5:S5"/>
    <mergeCell ref="L5:P5"/>
    <mergeCell ref="T22:T23"/>
    <mergeCell ref="B9:B10"/>
    <mergeCell ref="A5:C5"/>
    <mergeCell ref="A3:N3"/>
    <mergeCell ref="D5:G5"/>
    <mergeCell ref="H5:J5"/>
    <mergeCell ref="A8:X8"/>
    <mergeCell ref="A9:A10"/>
    <mergeCell ref="C9:C10"/>
    <mergeCell ref="D9:D10"/>
    <mergeCell ref="H9:H10"/>
    <mergeCell ref="I9:I10"/>
    <mergeCell ref="P3:X3"/>
    <mergeCell ref="V5:X5"/>
    <mergeCell ref="T5:U5"/>
    <mergeCell ref="P9:Q9"/>
    <mergeCell ref="L6:P7"/>
    <mergeCell ref="A6:C7"/>
    <mergeCell ref="H6:J7"/>
    <mergeCell ref="Y15:Y16"/>
    <mergeCell ref="U9:W10"/>
    <mergeCell ref="V37:V38"/>
    <mergeCell ref="W37:X38"/>
    <mergeCell ref="V26:X26"/>
    <mergeCell ref="V27:X27"/>
    <mergeCell ref="U22:U23"/>
    <mergeCell ref="R38:U38"/>
    <mergeCell ref="R37:U37"/>
    <mergeCell ref="V25:X25"/>
    <mergeCell ref="V24:X24"/>
    <mergeCell ref="U11:W11"/>
    <mergeCell ref="U12:W12"/>
    <mergeCell ref="U13:W13"/>
  </mergeCells>
  <dataValidations count="3">
    <dataValidation allowBlank="1" showInputMessage="1" showErrorMessage="1" errorTitle="تنبيه:" error="الرجاء اختيار رقم موبايل صحيح مكون من عشرة ارقام." sqref="P9:Q10"/>
    <dataValidation operator="notBetween" allowBlank="1" showInputMessage="1" showErrorMessage="1" sqref="B9:B10"/>
    <dataValidation errorStyle="warning" allowBlank="1" showInputMessage="1" showErrorMessage="1" promptTitle="تنبيه" prompt="الرجاء اختيار عام صحيح مثال: 1994" sqref="E15:G16"/>
  </dataValidations>
  <pageMargins left="0" right="0" top="0" bottom="0" header="0" footer="0"/>
  <headerFooter>
    <oddFooter>&amp;C&amp;G</oddFooter>
  </headerFooter>
  <colBreaks count="1" manualBreakCount="1">
    <brk id="25" max="49" man="1"/>
  </colBreaks>
  <extLst>
    <ext uri="{CCE6A557-97BC-4b89-ADB6-D9C93CAAB3DF}">
      <ns4:dataValidations count="4"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H11</ns5:sqref>
        </ns4:dataValidation>
        <ns4:dataValidation type="list" allowBlank="1" showInputMessage="1" showErrorMessage="1">
          <ns4:formula1>
            <ns5:f>'C:\Users\ASUS\Downloads\Telegram Desktop\[بيان_شهر_كانون_الثاني_مدرسة_طارق_بن_زياد.xlsx]قوائم'!#REF!</ns5:f>
          </ns4:formula1>
          <ns5:sqref>L11</ns5:sqref>
        </ns4:dataValidation>
        <ns4:dataValidation type="list" errorStyle="warning" allowBlank="1" showInputMessage="1" showErrorMessage="1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K11</ns5:sqref>
        </ns4:dataValidation>
        <ns4:dataValidation type="list" errorStyle="warning" allowBlank="1" showInputMessage="1" showErrorMessage="1" errorTitle="تنبيه:" error="الرجاء اختيار قيمة صحيحة من القائمة في حال وجودها" promptTitle="تنبيه:" prompt="الرجاء اختيار من القائمة المنسدلة وفي حالة عدم وجود الخيار الصحيح يرجى كتابته يدوياً">
          <ns4:formula1>
            <ns5:f>'C:\Users\ASUS\Downloads\Telegram Desktop\[بيان_شهر_كانون_الثاني_مدرسة_طارق_بن_زياد.xlsx]قوائم'!#REF!</ns5:f>
          </ns4:formula1>
          <ns5:sqref>H24</ns5:sqref>
        </ns4:dataValidation>
      </ns4:dataValidations>
    </ext>
  </extLst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xmlns:ns4="http://schemas.microsoft.com/office/spreadsheetml/2009/9/main" xmlns:ns5="http://schemas.microsoft.com/office/excel/2006/main" ns1:Ignorable="x14ac">
  <sheetPr codeName="Worksheet____6"/>
  <dimension ref="A1:V33"/>
  <sheetViews>
    <sheetView rightToLeft="1" view="pageBreakPreview" zoomScale="95" zoomScaleNormal="100" zoomScaleSheetLayoutView="95" workbookViewId="0">
      <selection activeCell="Q32" sqref="Q32:T32"/>
    </sheetView>
  </sheetViews>
  <sheetFormatPr defaultColWidth="6.6640625" defaultRowHeight="18" customHeight="1" ns2:dyDescent="0.3"/>
  <cols>
    <col min="1" max="1" width="6.6640625" style="36" customWidth="1"/>
    <col min="2" max="2" width="8.109375" style="36" customWidth="1"/>
    <col min="3" max="3" width="6.6640625" style="36" customWidth="1"/>
    <col min="4" max="4" width="7.6640625" style="36" customWidth="1"/>
    <col min="5" max="5" width="6.6640625" style="36" customWidth="1"/>
    <col min="6" max="6" width="7.77734375" style="36" customWidth="1"/>
    <col min="7" max="7" width="6.6640625" style="36" customWidth="1"/>
    <col min="8" max="8" width="7.77734375" style="36" customWidth="1"/>
    <col min="9" max="9" width="6.6640625" style="36" customWidth="1"/>
    <col min="10" max="10" width="7.88671875" style="36" customWidth="1"/>
    <col min="11" max="11" width="6.6640625" style="36" customWidth="1"/>
    <col min="12" max="12" width="7.88671875" style="36" customWidth="1"/>
    <col min="13" max="13" width="6.6640625" style="36" customWidth="1"/>
    <col min="14" max="14" width="7.88671875" style="36" customWidth="1"/>
    <col min="15" max="15" width="6.6640625" style="36" customWidth="1"/>
    <col min="16" max="16" width="7.77734375" style="36" customWidth="1"/>
    <col min="17" max="17" width="6.6640625" style="36" customWidth="1"/>
    <col min="18" max="18" width="7.88671875" style="36" customWidth="1"/>
    <col min="19" max="19" width="6.6640625" style="36" customWidth="1"/>
    <col min="20" max="20" width="11.33203125" style="36" customWidth="1"/>
    <col min="21" max="21" width="10.33203125" style="36" customWidth="1"/>
    <col min="22" max="16384" width="6.6640625" style="36"/>
  </cols>
  <sheetData>
    <row r="1" spans="1:22" ht="18" customHeight="1" ns2:dyDescent="0.3">
      <c r="A1" s="269"/>
      <c r="B1" s="720" t="s">
        <v>279</v>
      </c>
      <c r="C1" s="720" t="str">
        <f>البيان!$K$7</f>
        <v>طارق بن زياد</v>
      </c>
      <c r="D1" s="722"/>
      <c r="E1" s="723"/>
      <c r="F1" s="270"/>
      <c r="G1" s="271"/>
      <c r="H1" s="726" t="str">
        <f>قوائم!I11&amp;" "&amp;البيان!$K$7</f>
        <v>جدول نتائج نهاية العام لمدرسة: طارق بن زياد</v>
      </c>
      <c r="I1" s="727"/>
      <c r="J1" s="727"/>
      <c r="K1" s="727"/>
      <c r="L1" s="727"/>
      <c r="M1" s="727"/>
      <c r="N1" s="727"/>
      <c r="O1" s="727"/>
      <c r="P1" s="728"/>
      <c r="Q1" s="271"/>
      <c r="R1" s="271"/>
      <c r="S1" s="271"/>
      <c r="T1" s="271"/>
      <c r="U1" s="271"/>
      <c r="V1" s="269"/>
    </row>
    <row r="2" spans="1:22" ht="18" customHeight="1" thickBot="1" ns2:dyDescent="0.35">
      <c r="A2" s="269"/>
      <c r="B2" s="721"/>
      <c r="C2" s="721"/>
      <c r="D2" s="724"/>
      <c r="E2" s="725"/>
      <c r="F2" s="270"/>
      <c r="G2" s="271"/>
      <c r="H2" s="729"/>
      <c r="I2" s="730"/>
      <c r="J2" s="730"/>
      <c r="K2" s="730"/>
      <c r="L2" s="730"/>
      <c r="M2" s="730"/>
      <c r="N2" s="730"/>
      <c r="O2" s="730"/>
      <c r="P2" s="731"/>
      <c r="Q2" s="271"/>
      <c r="R2" s="271"/>
      <c r="S2" s="271"/>
      <c r="T2" s="271"/>
      <c r="U2" s="271"/>
      <c r="V2" s="269"/>
    </row>
    <row r="3" spans="1:22" ht="18" customHeight="1" ns2:dyDescent="0.3">
      <c r="A3" s="269"/>
      <c r="B3" s="732" t="s">
        <v>278</v>
      </c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  <c r="R3" s="732"/>
      <c r="S3" s="732"/>
      <c r="T3" s="732"/>
      <c r="U3" s="732"/>
      <c r="V3" s="269"/>
    </row>
    <row r="4" spans="1:22" ht="18" customHeight="1" thickBot="1" ns2:dyDescent="0.35">
      <c r="A4" s="269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33"/>
      <c r="P4" s="733"/>
      <c r="Q4" s="733"/>
      <c r="R4" s="733"/>
      <c r="S4" s="733"/>
      <c r="T4" s="733"/>
      <c r="U4" s="733"/>
      <c r="V4" s="269"/>
    </row>
    <row r="5" spans="1:22" ht="18" customHeight="1" thickBot="1" ns2:dyDescent="0.35">
      <c r="B5" s="734" t="s">
        <v>53</v>
      </c>
      <c r="C5" s="735"/>
      <c r="D5" s="738" t="s">
        <v>54</v>
      </c>
      <c r="E5" s="737"/>
      <c r="F5" s="735" t="s">
        <v>291</v>
      </c>
      <c r="G5" s="735"/>
      <c r="H5" s="735"/>
      <c r="I5" s="261" t="s">
        <v>27</v>
      </c>
      <c r="J5" s="736" t="s">
        <v>273</v>
      </c>
      <c r="K5" s="395"/>
      <c r="L5" s="395"/>
      <c r="M5" s="395"/>
      <c r="N5" s="781" t="s">
        <v>227</v>
      </c>
      <c r="O5" s="782"/>
      <c r="P5" s="736" t="s">
        <v>226</v>
      </c>
      <c r="Q5" s="395"/>
      <c r="R5" s="396"/>
      <c r="S5" s="736" t="s">
        <v>207</v>
      </c>
      <c r="T5" s="395"/>
      <c r="U5" s="396"/>
      <c r="V5" s="262"/>
    </row>
    <row r="6" spans="1:22" ht="18" customHeight="1" thickBot="1" ns2:dyDescent="0.35">
      <c r="A6" s="38"/>
      <c r="B6" s="511"/>
      <c r="C6" s="513"/>
      <c r="D6" s="475"/>
      <c r="E6" s="477"/>
      <c r="F6" s="511"/>
      <c r="G6" s="512"/>
      <c r="H6" s="513"/>
      <c r="I6" s="506"/>
      <c r="J6" s="475"/>
      <c r="K6" s="476"/>
      <c r="L6" s="476"/>
      <c r="M6" s="476"/>
      <c r="N6" s="446"/>
      <c r="O6" s="447"/>
      <c r="P6" s="469"/>
      <c r="Q6" s="470"/>
      <c r="R6" s="471"/>
      <c r="S6" s="783" t="s">
        <v>205</v>
      </c>
      <c r="T6" s="784"/>
      <c r="U6" s="217"/>
      <c r="V6" s="219"/>
    </row>
    <row r="7" spans="1:22" ht="18" customHeight="1" thickBot="1" ns2:dyDescent="0.35">
      <c r="A7" s="38"/>
      <c r="B7" s="514"/>
      <c r="C7" s="516"/>
      <c r="D7" s="478"/>
      <c r="E7" s="480"/>
      <c r="F7" s="514"/>
      <c r="G7" s="515"/>
      <c r="H7" s="516"/>
      <c r="I7" s="507"/>
      <c r="J7" s="478"/>
      <c r="K7" s="479"/>
      <c r="L7" s="479"/>
      <c r="M7" s="479"/>
      <c r="N7" s="448"/>
      <c r="O7" s="449"/>
      <c r="P7" s="472"/>
      <c r="Q7" s="473"/>
      <c r="R7" s="474"/>
      <c r="S7" s="785" t="s">
        <v>206</v>
      </c>
      <c r="T7" s="786"/>
      <c r="U7" s="218"/>
      <c r="V7" s="220"/>
    </row>
    <row r="8" spans="1:22" ht="18" customHeight="1" thickBot="1" ns2:dyDescent="0.35">
      <c r="A8" s="38"/>
      <c r="B8" s="4"/>
      <c r="C8" s="4"/>
      <c r="D8" s="39"/>
      <c r="E8" s="39"/>
      <c r="F8" s="39"/>
      <c r="G8" s="39"/>
      <c r="H8" s="39"/>
      <c r="I8" s="40"/>
      <c r="J8" s="40"/>
      <c r="K8" s="40"/>
      <c r="L8" s="40"/>
      <c r="M8" s="40"/>
      <c r="N8" s="40"/>
      <c r="O8" s="40"/>
      <c r="P8" s="40"/>
      <c r="Q8" s="39"/>
      <c r="R8" s="4"/>
      <c r="S8" s="41"/>
      <c r="T8" s="214"/>
      <c r="U8" s="214"/>
    </row>
    <row r="9" spans="1:22" ht="18" customHeight="1" thickBot="1" ns2:dyDescent="0.35">
      <c r="B9" s="736" t="s">
        <v>98</v>
      </c>
      <c r="C9" s="396"/>
      <c r="D9" s="736" t="s">
        <v>99</v>
      </c>
      <c r="E9" s="737"/>
      <c r="F9" s="738" t="s">
        <v>100</v>
      </c>
      <c r="G9" s="737"/>
      <c r="H9" s="738" t="s">
        <v>101</v>
      </c>
      <c r="I9" s="737"/>
      <c r="J9" s="738" t="s">
        <v>102</v>
      </c>
      <c r="K9" s="737"/>
      <c r="L9" s="738" t="s">
        <v>103</v>
      </c>
      <c r="M9" s="737"/>
      <c r="N9" s="738" t="s">
        <v>104</v>
      </c>
      <c r="O9" s="737"/>
      <c r="P9" s="738" t="s">
        <v>105</v>
      </c>
      <c r="Q9" s="396"/>
      <c r="R9" s="736" t="s">
        <v>106</v>
      </c>
      <c r="S9" s="396"/>
      <c r="T9" s="736" t="s">
        <v>113</v>
      </c>
      <c r="U9" s="396"/>
    </row>
    <row r="10" spans="1:22" ht="18" customHeight="1" ns2:dyDescent="0.3">
      <c r="B10" s="263" t="s">
        <v>38</v>
      </c>
      <c r="C10" s="264" t="s">
        <v>107</v>
      </c>
      <c r="D10" s="264" t="s">
        <v>38</v>
      </c>
      <c r="E10" s="264" t="s">
        <v>107</v>
      </c>
      <c r="F10" s="264" t="s">
        <v>38</v>
      </c>
      <c r="G10" s="264" t="s">
        <v>107</v>
      </c>
      <c r="H10" s="264" t="s">
        <v>38</v>
      </c>
      <c r="I10" s="264" t="s">
        <v>107</v>
      </c>
      <c r="J10" s="264" t="s">
        <v>38</v>
      </c>
      <c r="K10" s="264" t="s">
        <v>107</v>
      </c>
      <c r="L10" s="264" t="s">
        <v>38</v>
      </c>
      <c r="M10" s="264" t="s">
        <v>107</v>
      </c>
      <c r="N10" s="264" t="s">
        <v>38</v>
      </c>
      <c r="O10" s="264" t="s">
        <v>107</v>
      </c>
      <c r="P10" s="264" t="s">
        <v>38</v>
      </c>
      <c r="Q10" s="264" t="s">
        <v>107</v>
      </c>
      <c r="R10" s="264" t="s">
        <v>38</v>
      </c>
      <c r="S10" s="265" t="s">
        <v>107</v>
      </c>
      <c r="T10" s="264" t="s">
        <v>110</v>
      </c>
      <c r="U10" s="266" t="s">
        <v>111</v>
      </c>
    </row>
    <row r="11" spans="1:22" ht="18" customHeight="1" thickBot="1" ns2:dyDescent="0.35">
      <c r="B11" s="27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42"/>
      <c r="T11" s="14"/>
      <c r="U11" s="276"/>
    </row>
    <row r="12" spans="1:22" ht="18" customHeight="1" thickBot="1" ns2:dyDescent="0.35">
      <c r="B12" s="267" t="s">
        <v>108</v>
      </c>
      <c r="C12" s="268">
        <f>SUM(B11:C11)</f>
        <v>0</v>
      </c>
      <c r="D12" s="267" t="s">
        <v>108</v>
      </c>
      <c r="E12" s="268">
        <f>SUM(D11:E11)</f>
        <v>0</v>
      </c>
      <c r="F12" s="267" t="s">
        <v>108</v>
      </c>
      <c r="G12" s="268">
        <f>SUM(F11:G11)</f>
        <v>0</v>
      </c>
      <c r="H12" s="267" t="s">
        <v>108</v>
      </c>
      <c r="I12" s="268">
        <f>SUM(H11:I11)</f>
        <v>0</v>
      </c>
      <c r="J12" s="267" t="s">
        <v>108</v>
      </c>
      <c r="K12" s="268">
        <f>SUM(J11:K11)</f>
        <v>0</v>
      </c>
      <c r="L12" s="267" t="s">
        <v>108</v>
      </c>
      <c r="M12" s="268">
        <f>SUM(L11:M11)</f>
        <v>0</v>
      </c>
      <c r="N12" s="267" t="s">
        <v>108</v>
      </c>
      <c r="O12" s="268">
        <f>SUM(N11:O11)</f>
        <v>0</v>
      </c>
      <c r="P12" s="267" t="s">
        <v>108</v>
      </c>
      <c r="Q12" s="268">
        <f>SUM(P11:Q11)</f>
        <v>0</v>
      </c>
      <c r="R12" s="267" t="s">
        <v>108</v>
      </c>
      <c r="S12" s="268">
        <f>SUM(R11:S11)</f>
        <v>0</v>
      </c>
      <c r="T12" s="267" t="s">
        <v>112</v>
      </c>
      <c r="U12" s="268"/>
    </row>
    <row r="13" spans="1:22" ht="18" customHeight="1" thickBot="1" ns2:dyDescent="0.35">
      <c r="B13" s="274"/>
      <c r="C13" s="274"/>
      <c r="D13" s="274"/>
      <c r="E13" s="274"/>
      <c r="F13" s="274"/>
      <c r="G13" s="274"/>
      <c r="H13" s="736" t="s">
        <v>159</v>
      </c>
      <c r="I13" s="396"/>
      <c r="J13" s="736" t="s">
        <v>160</v>
      </c>
      <c r="K13" s="396"/>
      <c r="L13" s="736" t="s">
        <v>161</v>
      </c>
      <c r="M13" s="396"/>
      <c r="N13" s="736" t="s">
        <v>162</v>
      </c>
      <c r="O13" s="396"/>
      <c r="P13" s="274"/>
      <c r="Q13" s="274"/>
      <c r="R13" s="274"/>
      <c r="S13" s="274"/>
      <c r="T13" s="274"/>
      <c r="U13" s="274"/>
    </row>
    <row r="14" spans="1:22" ht="18" customHeight="1" ns2:dyDescent="0.3">
      <c r="B14" s="274"/>
      <c r="C14" s="274"/>
      <c r="D14" s="274"/>
      <c r="E14" s="274"/>
      <c r="F14" s="274"/>
      <c r="G14" s="274"/>
      <c r="H14" s="263" t="s">
        <v>38</v>
      </c>
      <c r="I14" s="264" t="s">
        <v>107</v>
      </c>
      <c r="J14" s="264" t="s">
        <v>38</v>
      </c>
      <c r="K14" s="264" t="s">
        <v>107</v>
      </c>
      <c r="L14" s="264" t="s">
        <v>38</v>
      </c>
      <c r="M14" s="264" t="s">
        <v>107</v>
      </c>
      <c r="N14" s="264" t="s">
        <v>38</v>
      </c>
      <c r="O14" s="266" t="s">
        <v>107</v>
      </c>
      <c r="P14" s="274"/>
      <c r="Q14" s="274"/>
      <c r="R14" s="274"/>
      <c r="S14" s="274"/>
      <c r="T14" s="274"/>
      <c r="U14" s="274"/>
    </row>
    <row r="15" spans="1:22" ht="18" customHeight="1" thickBot="1" ns2:dyDescent="0.35">
      <c r="B15" s="274"/>
      <c r="C15" s="274"/>
      <c r="D15" s="274"/>
      <c r="E15" s="274"/>
      <c r="F15" s="274"/>
      <c r="G15" s="274"/>
      <c r="H15" s="275"/>
      <c r="I15" s="14"/>
      <c r="J15" s="14"/>
      <c r="K15" s="14"/>
      <c r="L15" s="14"/>
      <c r="M15" s="14"/>
      <c r="N15" s="14"/>
      <c r="O15" s="276"/>
      <c r="P15" s="274"/>
      <c r="Q15" s="274"/>
      <c r="R15" s="274"/>
      <c r="S15" s="274"/>
      <c r="T15" s="274"/>
      <c r="U15" s="274"/>
    </row>
    <row r="16" spans="1:22" ht="18" customHeight="1" thickBot="1" ns2:dyDescent="0.35">
      <c r="B16" s="274"/>
      <c r="C16" s="274"/>
      <c r="D16" s="274"/>
      <c r="E16" s="274"/>
      <c r="F16" s="274"/>
      <c r="G16" s="274"/>
      <c r="H16" s="267" t="s">
        <v>108</v>
      </c>
      <c r="I16" s="268">
        <f>SUM(H15:I15)</f>
        <v>0</v>
      </c>
      <c r="J16" s="267" t="s">
        <v>108</v>
      </c>
      <c r="K16" s="268">
        <f>SUM(J15:K15)</f>
        <v>0</v>
      </c>
      <c r="L16" s="267" t="s">
        <v>108</v>
      </c>
      <c r="M16" s="268">
        <f>SUM(L15:M15)</f>
        <v>0</v>
      </c>
      <c r="N16" s="267" t="s">
        <v>108</v>
      </c>
      <c r="O16" s="268">
        <f>SUM(N15:O15)</f>
        <v>0</v>
      </c>
      <c r="P16" s="274"/>
      <c r="Q16" s="274"/>
      <c r="R16" s="274"/>
      <c r="S16" s="274"/>
      <c r="T16" s="274"/>
      <c r="U16" s="274"/>
    </row>
    <row r="17" spans="2:21" ht="18" customHeight="1" thickBot="1" ns2:dyDescent="0.35"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</row>
    <row r="18" spans="2:21" ht="18" customHeight="1" ns2:dyDescent="0.3">
      <c r="B18" s="739" t="s">
        <v>109</v>
      </c>
      <c r="C18" s="740"/>
      <c r="D18" s="740"/>
      <c r="E18" s="740"/>
      <c r="F18" s="740"/>
      <c r="G18" s="740"/>
      <c r="H18" s="740"/>
      <c r="I18" s="740"/>
      <c r="J18" s="740"/>
      <c r="K18" s="740"/>
      <c r="L18" s="740"/>
      <c r="M18" s="740"/>
      <c r="N18" s="740"/>
      <c r="O18" s="740"/>
      <c r="P18" s="740"/>
      <c r="Q18" s="740"/>
      <c r="R18" s="740"/>
      <c r="S18" s="740"/>
      <c r="T18" s="740"/>
      <c r="U18" s="741"/>
    </row>
    <row r="19" spans="2:21" ht="18" customHeight="1" thickBot="1" ns2:dyDescent="0.35">
      <c r="B19" s="742"/>
      <c r="C19" s="743"/>
      <c r="D19" s="743"/>
      <c r="E19" s="743"/>
      <c r="F19" s="743"/>
      <c r="G19" s="743"/>
      <c r="H19" s="743"/>
      <c r="I19" s="743"/>
      <c r="J19" s="743"/>
      <c r="K19" s="743"/>
      <c r="L19" s="743"/>
      <c r="M19" s="743"/>
      <c r="N19" s="743"/>
      <c r="O19" s="743"/>
      <c r="P19" s="743"/>
      <c r="Q19" s="743"/>
      <c r="R19" s="743"/>
      <c r="S19" s="743"/>
      <c r="T19" s="743"/>
      <c r="U19" s="744"/>
    </row>
    <row r="20" spans="2:21" ht="18" customHeight="1" thickBot="1" ns2:dyDescent="0.35">
      <c r="B20" s="745" t="s">
        <v>28</v>
      </c>
      <c r="C20" s="738"/>
      <c r="D20" s="745" t="s">
        <v>14</v>
      </c>
      <c r="E20" s="691"/>
      <c r="F20" s="745" t="s">
        <v>15</v>
      </c>
      <c r="G20" s="691"/>
      <c r="H20" s="395" t="s">
        <v>16</v>
      </c>
      <c r="I20" s="395"/>
      <c r="J20" s="736" t="s">
        <v>17</v>
      </c>
      <c r="K20" s="396"/>
      <c r="L20" s="736" t="s">
        <v>18</v>
      </c>
      <c r="M20" s="396"/>
      <c r="N20" s="736" t="s">
        <v>62</v>
      </c>
      <c r="O20" s="396"/>
      <c r="P20" s="736" t="s">
        <v>65</v>
      </c>
      <c r="Q20" s="396"/>
      <c r="R20" s="736" t="s">
        <v>66</v>
      </c>
      <c r="S20" s="395"/>
      <c r="T20" s="736" t="s">
        <v>31</v>
      </c>
      <c r="U20" s="396"/>
    </row>
    <row r="21" spans="2:21" ht="18" customHeight="1" thickBot="1" ns2:dyDescent="0.35">
      <c r="B21" s="753" t="s">
        <v>114</v>
      </c>
      <c r="C21" s="754"/>
      <c r="D21" s="755"/>
      <c r="E21" s="756"/>
      <c r="F21" s="755"/>
      <c r="G21" s="756"/>
      <c r="H21" s="757"/>
      <c r="I21" s="758"/>
      <c r="J21" s="759"/>
      <c r="K21" s="760"/>
      <c r="L21" s="759"/>
      <c r="M21" s="760"/>
      <c r="N21" s="759"/>
      <c r="O21" s="760"/>
      <c r="P21" s="759"/>
      <c r="Q21" s="760"/>
      <c r="R21" s="759"/>
      <c r="S21" s="761"/>
      <c r="T21" s="746"/>
      <c r="U21" s="747"/>
    </row>
    <row r="22" spans="2:21" ht="18" customHeight="1" thickBot="1" ns2:dyDescent="0.35">
      <c r="B22" s="745" t="s">
        <v>115</v>
      </c>
      <c r="C22" s="691"/>
      <c r="D22" s="748"/>
      <c r="E22" s="749"/>
      <c r="F22" s="748"/>
      <c r="G22" s="749"/>
      <c r="H22" s="748"/>
      <c r="I22" s="750"/>
      <c r="J22" s="748"/>
      <c r="K22" s="749"/>
      <c r="L22" s="748"/>
      <c r="M22" s="749"/>
      <c r="N22" s="748"/>
      <c r="O22" s="749"/>
      <c r="P22" s="748"/>
      <c r="Q22" s="749"/>
      <c r="R22" s="748"/>
      <c r="S22" s="750"/>
      <c r="T22" s="751"/>
      <c r="U22" s="752"/>
    </row>
    <row r="23" spans="2:21" ht="18" customHeight="1" thickBot="1" ns2:dyDescent="0.35">
      <c r="B23" s="745" t="s">
        <v>116</v>
      </c>
      <c r="C23" s="691"/>
      <c r="D23" s="771"/>
      <c r="E23" s="772"/>
      <c r="F23" s="771"/>
      <c r="G23" s="772"/>
      <c r="H23" s="773"/>
      <c r="I23" s="774"/>
      <c r="J23" s="773"/>
      <c r="K23" s="775"/>
      <c r="L23" s="773"/>
      <c r="M23" s="775"/>
      <c r="N23" s="773"/>
      <c r="O23" s="775"/>
      <c r="P23" s="773"/>
      <c r="Q23" s="775"/>
      <c r="R23" s="773"/>
      <c r="S23" s="774"/>
      <c r="T23" s="762"/>
      <c r="U23" s="763"/>
    </row>
    <row r="24" spans="2:21" ht="18" customHeight="1" thickBot="1" ns2:dyDescent="0.35">
      <c r="B24" s="745" t="s">
        <v>117</v>
      </c>
      <c r="C24" s="691"/>
      <c r="D24" s="764"/>
      <c r="E24" s="765"/>
      <c r="F24" s="764"/>
      <c r="G24" s="765"/>
      <c r="H24" s="766"/>
      <c r="I24" s="767"/>
      <c r="J24" s="766"/>
      <c r="K24" s="768"/>
      <c r="L24" s="766"/>
      <c r="M24" s="768"/>
      <c r="N24" s="766"/>
      <c r="O24" s="768"/>
      <c r="P24" s="766"/>
      <c r="Q24" s="768"/>
      <c r="R24" s="766"/>
      <c r="S24" s="767"/>
      <c r="T24" s="769"/>
      <c r="U24" s="770"/>
    </row>
    <row r="25" spans="2:21" ht="18" customHeight="1" thickBot="1" ns2:dyDescent="0.35">
      <c r="B25" s="745" t="s">
        <v>118</v>
      </c>
      <c r="C25" s="691"/>
      <c r="D25" s="748"/>
      <c r="E25" s="749"/>
      <c r="F25" s="748"/>
      <c r="G25" s="749"/>
      <c r="H25" s="778"/>
      <c r="I25" s="779"/>
      <c r="J25" s="778"/>
      <c r="K25" s="780"/>
      <c r="L25" s="778"/>
      <c r="M25" s="780"/>
      <c r="N25" s="778"/>
      <c r="O25" s="780"/>
      <c r="P25" s="778"/>
      <c r="Q25" s="780"/>
      <c r="R25" s="778"/>
      <c r="S25" s="779"/>
      <c r="T25" s="792"/>
      <c r="U25" s="793"/>
    </row>
    <row r="26" spans="2:21" ht="18" customHeight="1" thickBot="1" ns2:dyDescent="0.35">
      <c r="B26" s="745" t="s">
        <v>119</v>
      </c>
      <c r="C26" s="691"/>
      <c r="D26" s="794"/>
      <c r="E26" s="795"/>
      <c r="F26" s="794"/>
      <c r="G26" s="795"/>
      <c r="H26" s="796"/>
      <c r="I26" s="797"/>
      <c r="J26" s="796"/>
      <c r="K26" s="798"/>
      <c r="L26" s="796"/>
      <c r="M26" s="798"/>
      <c r="N26" s="796"/>
      <c r="O26" s="798"/>
      <c r="P26" s="796"/>
      <c r="Q26" s="798"/>
      <c r="R26" s="796"/>
      <c r="S26" s="797"/>
      <c r="T26" s="776"/>
      <c r="U26" s="777"/>
    </row>
    <row r="27" spans="2:21" ht="18" customHeight="1" ns2:dyDescent="0.3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2:21" ht="18" customHeight="1" ns2:dyDescent="0.3"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2:21" ht="18" customHeight="1" ns2:dyDescent="0.35">
      <c r="B29" s="789" t="s">
        <v>139</v>
      </c>
      <c r="C29" s="789"/>
      <c r="D29" s="789"/>
      <c r="E29" s="790" t="s">
        <v>138</v>
      </c>
      <c r="F29" s="790"/>
      <c r="G29" s="790"/>
      <c r="H29" s="790"/>
      <c r="I29" s="790"/>
      <c r="J29" s="790"/>
      <c r="K29" s="790"/>
      <c r="L29" s="790"/>
      <c r="M29" s="790"/>
      <c r="N29" s="790"/>
      <c r="O29" s="790"/>
      <c r="P29" s="790"/>
      <c r="Q29" s="790"/>
      <c r="R29" s="790"/>
    </row>
    <row r="31" spans="2:21" ht="18" customHeight="1" ns2:dyDescent="0.3">
      <c r="B31" s="791" t="s">
        <v>141</v>
      </c>
      <c r="C31" s="791"/>
      <c r="D31" s="791"/>
      <c r="E31" s="791"/>
      <c r="Q31" s="791" t="s">
        <v>134</v>
      </c>
      <c r="R31" s="791"/>
      <c r="S31" s="791"/>
      <c r="T31" s="791"/>
    </row>
    <row r="32" spans="2:21" ht="18" customHeight="1" ns2:dyDescent="0.3">
      <c r="B32" s="787" t="s">
        <v>165</v>
      </c>
      <c r="C32" s="787"/>
      <c r="D32" s="787"/>
      <c r="E32" s="787"/>
      <c r="Q32" s="787" t="s">
        <v>164</v>
      </c>
      <c r="R32" s="787"/>
      <c r="S32" s="787"/>
      <c r="T32" s="787"/>
    </row>
    <row r="33" spans="2:20" ht="18" customHeight="1" ns2:dyDescent="0.3">
      <c r="B33" s="788"/>
      <c r="C33" s="788"/>
      <c r="D33" s="788"/>
      <c r="E33" s="788"/>
      <c r="Q33" s="439"/>
      <c r="R33" s="440"/>
      <c r="S33" s="440"/>
      <c r="T33" s="441"/>
    </row>
  </sheetData>
  <sheetProtection algorithmName="SHA-512" hashValue="ptwYU0eryyzq/lctPwWQQgeR+uZjwpzRg3X3fmmA7o9q1QKvxehzQD8xagnOF6WyRmPgyuSx4YrI0xnbbccQIg==" saltValue="HGNtg7zRCnnCSEv+T2BSIA==" spinCount="100000" sheet="1" objects="1" scenarios="1"/>
  <customSheetViews>
    <customSheetView guid="{9B185263-2BD9-4D2A-A382-CDCDF12F5EF0}" showPageBreaks="1">
      <selection activeCell="H13" sqref="H13:I13"/>
    </customSheetView>
  </customSheetViews>
  <mergeCells count="113">
    <mergeCell ref="N5:O5"/>
    <mergeCell ref="P5:R5"/>
    <mergeCell ref="N6:O7"/>
    <mergeCell ref="P6:R7"/>
    <mergeCell ref="S6:T6"/>
    <mergeCell ref="S7:T7"/>
    <mergeCell ref="Q33:T33"/>
    <mergeCell ref="B32:E32"/>
    <mergeCell ref="B33:E33"/>
    <mergeCell ref="B29:D29"/>
    <mergeCell ref="E29:R29"/>
    <mergeCell ref="Q31:T31"/>
    <mergeCell ref="B31:E31"/>
    <mergeCell ref="Q32:T32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3: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1:U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L13:M13"/>
    <mergeCell ref="N13:O13"/>
    <mergeCell ref="B18:U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H13:I13"/>
    <mergeCell ref="J13:K13"/>
    <mergeCell ref="B1:B2"/>
    <mergeCell ref="C1:E2"/>
    <mergeCell ref="H1:P2"/>
    <mergeCell ref="B3:U4"/>
    <mergeCell ref="B5:C5"/>
    <mergeCell ref="B6:C7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J5:M5"/>
    <mergeCell ref="J6:M7"/>
    <mergeCell ref="I6:I7"/>
    <mergeCell ref="F5:H5"/>
    <mergeCell ref="F6:H7"/>
    <mergeCell ref="D5:E5"/>
    <mergeCell ref="D6:E7"/>
    <mergeCell ref="S5:U5"/>
  </mergeCells>
  <dataValidations count="4">
    <dataValidation allowBlank="1" showInputMessage="1" showErrorMessage="1" promptTitle="تنبيه هام:" prompt="الرجاء الإجابة ب(نعم أو لا )وعدم ترك الجواب فارغ" sqref="S7:T7"/>
    <dataValidation allowBlank="1" showInputMessage="1" showErrorMessage="1" promptTitle="تنبيه:" prompt="يرجى كتابة اسم المدرسة." sqref="J6:M7"/>
    <dataValidation allowBlank="1" showInputMessage="1" showErrorMessage="1" promptTitle="تنبيه:" prompt="يرجى كتابة عنوان المدرسة بالتفصيل." sqref="F6:H7"/>
    <dataValidation allowBlank="1" showInputMessage="1" showErrorMessage="1" promptTitle="تنبيه:" prompt="الرجاء الاجابة في حال كان مشترك  أو غير مشترك_x000a_مثال1: غير مشترك_x000a_مثال2: مشترك مع .." sqref="U7:V7"/>
  </dataValidations>
  <printOptions horizontalCentered="1" verticalCentered="1"/>
  <pageMargins left="0.23622047244094491" right="0.23622047244094491" top="0.74803149606299213" bottom="0.74803149606299213" header="0.31496062992125984" footer="0.31496062992125984"/>
  <extLst>
    <ext uri="{CCE6A557-97BC-4b89-ADB6-D9C93CAAB3DF}">
      <ns4:dataValidations count="4">
        <ns4:dataValidation type="list" allowBlank="1" showInputMessage="1" showErrorMessage="1">
          <ns4:formula1>
            <ns5:f>قوائم!$AB$3:$AB$8</ns5:f>
          </ns4:formula1>
          <ns5:sqref>I6:I7</ns5:sqref>
        </ns4:dataValidation>
        <ns4:dataValidation type="list" errorStyle="warning" allowBlank="1" showInputMessage="1" showErrorMessage="1" error="الرجاء اختيار احد المناطق." prompt="الرجاء اختيار احدى المناطق التعليمية.">
          <ns4:formula1>
            <ns5:f>قوائم!$AD$3:$AD$7</ns5:f>
          </ns4:formula1>
          <ns5:sqref>B6:C7</ns5:sqref>
        </ns4:dataValidation>
        <ns4:dataValidation type="list" errorStyle="warning" allowBlank="1" showInputMessage="1" showErrorMessage="1" errorTitle="تنبيه:" error="الرجاء ادخال كلمة نعم أو لا فقط" promptTitle="تنبيه:" prompt="الرجاء اختر (نعم أو لا )_x000a_وعدم ترك الخانة فارغة.">
          <ns4:formula1>
            <ns5:f>قوائم!$AA$3:$AA$4</ns5:f>
          </ns4:formula1>
          <ns5:sqref>P6</ns5:sqref>
        </ns4:dataValidation>
        <ns4:dataValidation type="list" allowBlank="1" showInputMessage="1" showErrorMessage="1" promptTitle="تنبيه:" prompt="الرجاء اختيار الأجابة أذا كان الدوام (كامل أو نصفي)_x000a_وعدم ترك الخانة فارغة.">
          <ns4:formula1>
            <ns5:f>قوائم!$AC$3:$AC$4</ns5:f>
          </ns4:formula1>
          <ns5:sqref>U6:V6</ns5:sqref>
        </ns4:dataValidation>
      </ns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41"/>
  <sheetViews>
    <sheetView rightToLeft="1" topLeftCell="K1" workbookViewId="0">
      <selection activeCell="Z7" sqref="Z7"/>
    </sheetView>
  </sheetViews>
  <sheetFormatPr defaultRowHeight="25.8" x14ac:dyDescent="0.5"/>
  <cols>
    <col min="1" max="1" width="28.21875" style="200" customWidth="1"/>
    <col min="2" max="2" width="24.109375" style="198" customWidth="1"/>
    <col min="3" max="3" width="18.88671875" customWidth="1"/>
    <col min="4" max="4" width="11.77734375" customWidth="1"/>
    <col min="5" max="5" width="17.33203125" customWidth="1"/>
    <col min="6" max="6" width="11.77734375" customWidth="1"/>
    <col min="10" max="10" width="10" customWidth="1"/>
    <col min="26" max="26" width="16.33203125" customWidth="1"/>
  </cols>
  <sheetData>
    <row r="1" spans="1:31" ht="15" customHeight="1" x14ac:dyDescent="0.5">
      <c r="A1" s="199" t="s">
        <v>231</v>
      </c>
      <c r="B1" s="197" t="s">
        <v>194</v>
      </c>
      <c r="C1" s="73" t="s">
        <v>125</v>
      </c>
      <c r="D1" s="73" t="s">
        <v>195</v>
      </c>
      <c r="E1" s="73" t="s">
        <v>153</v>
      </c>
      <c r="F1" s="73" t="s">
        <v>28</v>
      </c>
      <c r="G1" s="73" t="s">
        <v>200</v>
      </c>
      <c r="J1" s="159" t="s">
        <v>271</v>
      </c>
      <c r="L1" t="s">
        <v>262</v>
      </c>
    </row>
    <row r="2" spans="1:31" ht="15.75" customHeight="1" thickBot="1" x14ac:dyDescent="0.55000000000000004">
      <c r="J2" t="s">
        <v>272</v>
      </c>
      <c r="L2" t="s">
        <v>259</v>
      </c>
      <c r="Z2" t="s">
        <v>298</v>
      </c>
      <c r="AA2" t="s">
        <v>218</v>
      </c>
      <c r="AB2" t="s">
        <v>27</v>
      </c>
      <c r="AC2" t="s">
        <v>208</v>
      </c>
      <c r="AD2" t="s">
        <v>209</v>
      </c>
      <c r="AE2" t="s">
        <v>228</v>
      </c>
    </row>
    <row r="3" spans="1:31" ht="31.2" x14ac:dyDescent="0.5">
      <c r="A3" s="200" t="s">
        <v>154</v>
      </c>
      <c r="B3" s="198" t="s">
        <v>69</v>
      </c>
      <c r="D3" s="144" t="s">
        <v>191</v>
      </c>
      <c r="E3" t="s">
        <v>197</v>
      </c>
      <c r="F3" t="s">
        <v>171</v>
      </c>
      <c r="G3" t="s">
        <v>201</v>
      </c>
      <c r="J3" t="s">
        <v>243</v>
      </c>
      <c r="L3" t="s">
        <v>260</v>
      </c>
      <c r="M3" s="9" t="s">
        <v>69</v>
      </c>
      <c r="N3">
        <f>COUNTIFS('الجهاز الإداري'!I4:I200,"*معلم صف*",'الجهاز الإداري'!S4:S200,"*داخل*")</f>
        <v>0</v>
      </c>
      <c r="O3">
        <f>COUNTIFS('الجهاز الإداري'!I4:I200,"*م*ص*",'الجهاز الإداري'!S4:S200,"*داخل*")</f>
        <v>0</v>
      </c>
      <c r="Z3" s="221" t="s">
        <v>299</v>
      </c>
      <c r="AA3" t="s">
        <v>122</v>
      </c>
      <c r="AB3" s="78">
        <v>1</v>
      </c>
      <c r="AC3" s="78" t="s">
        <v>84</v>
      </c>
      <c r="AD3" s="78" t="s">
        <v>210</v>
      </c>
      <c r="AE3" s="78" t="s">
        <v>229</v>
      </c>
    </row>
    <row r="4" spans="1:31" x14ac:dyDescent="0.5">
      <c r="A4" s="200" t="s">
        <v>43</v>
      </c>
      <c r="B4" s="198" t="s">
        <v>281</v>
      </c>
      <c r="D4" s="144" t="s">
        <v>192</v>
      </c>
      <c r="E4" t="s">
        <v>234</v>
      </c>
      <c r="F4" t="s">
        <v>14</v>
      </c>
      <c r="G4" t="s">
        <v>202</v>
      </c>
      <c r="L4" t="s">
        <v>261</v>
      </c>
      <c r="M4" s="66" t="s">
        <v>70</v>
      </c>
      <c r="N4">
        <f>COUNTIFS('الجهاز الإداري'!I4:I200,"هلي*تعل",'الجهاز الإداري'!S4:S200,"*داخل*")</f>
        <v>0</v>
      </c>
      <c r="O4">
        <f>COUNTIFS('الجهاز الإداري'!I4:I200,"*ا.ه*",'الجهاز الإداري'!S4:S200,"*داخل*")</f>
        <v>0</v>
      </c>
      <c r="P4">
        <f>COUNTIFS('الجهاز الإداري'!I4:I200,"ا-ه",'الجهاز الإداري'!S4:S200,"*داخل*")</f>
        <v>0</v>
      </c>
      <c r="Q4">
        <f>COUNTIFS('الجهاز الإداري'!I4:I200,"ا ه",'الجهاز الإداري'!S4:S200,"*داخل*")</f>
        <v>0</v>
      </c>
      <c r="R4">
        <f>COUNTIFS('الجهاز الإداري'!I4:I200,"أ ه",'الجهاز الإداري'!S4:S200,"*داخل*")</f>
        <v>0</v>
      </c>
      <c r="S4">
        <f>COUNTIFS('الجهاز التدريسي'!I4:I200,"ا.ه",'الجهاز الإداري'!S4:S200,"*داخل*")</f>
        <v>0</v>
      </c>
      <c r="T4">
        <f>COUNTIFS('الجهاز التدريسي'!I4:I200,"ا-ه",'الجهاز الإداري'!S4:S200,"*داخل*")</f>
        <v>0</v>
      </c>
      <c r="U4">
        <f>COUNTIFS('الجهاز التدريسي'!I4:I200,"ا ه",'الجهاز الإداري'!S4:S200,"*داخل*")</f>
        <v>0</v>
      </c>
      <c r="V4">
        <f>COUNTIFS('الجهاز التدريسي'!I4:I200,"هلي*تعل",'الجهاز الإداري'!S4:S200,"*داخل*")</f>
        <v>0</v>
      </c>
      <c r="Z4" s="221" t="s">
        <v>300</v>
      </c>
      <c r="AA4" t="s">
        <v>123</v>
      </c>
      <c r="AB4" s="78">
        <v>2</v>
      </c>
      <c r="AC4" s="78" t="s">
        <v>85</v>
      </c>
      <c r="AD4" s="78" t="s">
        <v>211</v>
      </c>
      <c r="AE4" s="78" t="s">
        <v>169</v>
      </c>
    </row>
    <row r="5" spans="1:31" ht="26.4" thickBot="1" x14ac:dyDescent="0.55000000000000004">
      <c r="A5" s="200" t="s">
        <v>245</v>
      </c>
      <c r="B5" s="198" t="s">
        <v>172</v>
      </c>
      <c r="D5" s="144" t="s">
        <v>193</v>
      </c>
      <c r="E5" t="s">
        <v>196</v>
      </c>
      <c r="F5" t="s">
        <v>15</v>
      </c>
      <c r="G5" t="s">
        <v>204</v>
      </c>
      <c r="L5" t="s">
        <v>280</v>
      </c>
      <c r="M5" s="16" t="s">
        <v>81</v>
      </c>
      <c r="Z5" s="221" t="s">
        <v>301</v>
      </c>
      <c r="AB5" s="78">
        <v>3</v>
      </c>
      <c r="AC5" s="78"/>
      <c r="AD5" s="78" t="s">
        <v>212</v>
      </c>
      <c r="AE5" t="s">
        <v>236</v>
      </c>
    </row>
    <row r="6" spans="1:31" ht="26.4" thickBot="1" x14ac:dyDescent="0.55000000000000004">
      <c r="A6" s="200" t="s">
        <v>44</v>
      </c>
      <c r="B6" s="198" t="s">
        <v>21</v>
      </c>
      <c r="E6" t="s">
        <v>199</v>
      </c>
      <c r="F6" t="s">
        <v>16</v>
      </c>
      <c r="M6" t="s">
        <v>86</v>
      </c>
      <c r="N6">
        <f>COUNTIFS('الجهاز الإداري'!I4:I200,"*ميق*",'الجهاز الإداري'!S4:S200,"*داخل*")</f>
        <v>0</v>
      </c>
      <c r="O6">
        <f>COUNTIFS('الجهاز التدريسي'!I4:I200,"*تعمي*",'الجهاز الإداري'!S4:S200,"*داخل*")</f>
        <v>0</v>
      </c>
      <c r="Z6" s="221" t="s">
        <v>302</v>
      </c>
      <c r="AB6" s="78" t="s">
        <v>215</v>
      </c>
      <c r="AC6" s="78"/>
      <c r="AD6" s="78" t="s">
        <v>213</v>
      </c>
    </row>
    <row r="7" spans="1:31" x14ac:dyDescent="0.5">
      <c r="A7" s="200" t="s">
        <v>49</v>
      </c>
      <c r="B7" s="198" t="s">
        <v>285</v>
      </c>
      <c r="E7" t="s">
        <v>266</v>
      </c>
      <c r="F7" t="s">
        <v>17</v>
      </c>
      <c r="M7" s="9" t="s">
        <v>71</v>
      </c>
      <c r="N7">
        <f>COUNTIFS('الجهاز الإداري'!I4:I200,"*عرب*",'الجهاز الإداري'!S4:S200,"*داخل*")</f>
        <v>0</v>
      </c>
      <c r="O7">
        <f>COUNTIFS('الجهاز التدريسي'!I4:I200,"*عرب*",'الجهاز الإداري'!S4:S200,"*داخل*")</f>
        <v>0</v>
      </c>
      <c r="Z7" s="221" t="s">
        <v>303</v>
      </c>
      <c r="AB7" s="78" t="s">
        <v>216</v>
      </c>
      <c r="AC7" s="78"/>
      <c r="AD7" s="78" t="s">
        <v>214</v>
      </c>
    </row>
    <row r="8" spans="1:31" ht="31.2" x14ac:dyDescent="0.5">
      <c r="A8" s="200" t="s">
        <v>157</v>
      </c>
      <c r="B8" s="198" t="s">
        <v>283</v>
      </c>
      <c r="F8" t="s">
        <v>18</v>
      </c>
      <c r="M8" s="11" t="s">
        <v>72</v>
      </c>
      <c r="N8">
        <f>COUNTIFS('الجهاز الإداري'!I:I,"*رياضيا*")</f>
        <v>1</v>
      </c>
      <c r="Z8" s="221" t="s">
        <v>304</v>
      </c>
      <c r="AB8" t="s">
        <v>217</v>
      </c>
    </row>
    <row r="9" spans="1:31" ht="26.4" thickBot="1" x14ac:dyDescent="0.55000000000000004">
      <c r="A9" s="200" t="s">
        <v>45</v>
      </c>
      <c r="B9" s="198" t="s">
        <v>190</v>
      </c>
      <c r="F9" t="s">
        <v>62</v>
      </c>
      <c r="I9" s="216" t="s">
        <v>296</v>
      </c>
      <c r="M9" s="12" t="s">
        <v>89</v>
      </c>
      <c r="N9">
        <f>COUNTIFS('الجهاز الإداري'!I4:I200,"*فيزي*+*كيم*",'الجهاز الإداري'!S4:S200,"*داخل*")</f>
        <v>0</v>
      </c>
      <c r="O9">
        <f>COUNTIFS('الجهاز الإداري'!I4:I200,"*كيم*+*فيزي*",'الجهاز الإداري'!S4:S200,"*داخل*")</f>
        <v>0</v>
      </c>
      <c r="Z9" s="221" t="s">
        <v>305</v>
      </c>
    </row>
    <row r="10" spans="1:31" ht="31.8" thickBot="1" x14ac:dyDescent="0.55000000000000004">
      <c r="A10" s="200" t="s">
        <v>158</v>
      </c>
      <c r="B10" s="198" t="s">
        <v>286</v>
      </c>
      <c r="E10" t="s">
        <v>196</v>
      </c>
      <c r="F10" t="s">
        <v>65</v>
      </c>
      <c r="S10" s="9" t="s">
        <v>69</v>
      </c>
      <c r="T10" s="71" t="s">
        <v>86</v>
      </c>
      <c r="U10" s="802" t="s">
        <v>70</v>
      </c>
      <c r="V10" s="803"/>
      <c r="W10" s="803"/>
      <c r="X10" s="804"/>
      <c r="Y10" s="16" t="s">
        <v>81</v>
      </c>
      <c r="Z10" s="221" t="s">
        <v>306</v>
      </c>
    </row>
    <row r="11" spans="1:31" ht="31.8" thickBot="1" x14ac:dyDescent="0.55000000000000004">
      <c r="A11" s="200" t="s">
        <v>248</v>
      </c>
      <c r="B11" s="198" t="s">
        <v>86</v>
      </c>
      <c r="E11" t="s">
        <v>275</v>
      </c>
      <c r="F11" t="s">
        <v>66</v>
      </c>
      <c r="I11" t="s">
        <v>297</v>
      </c>
      <c r="M11" s="799" t="s">
        <v>129</v>
      </c>
      <c r="N11" s="800"/>
      <c r="O11" s="800"/>
      <c r="P11" s="800"/>
      <c r="Q11" s="800"/>
      <c r="R11" s="801"/>
      <c r="S11" s="5">
        <f>SUM(COUNTIFS('الجهاز الإداري'!S4:S200,"*داخل*",'الجهاز الإداري'!I4:I200,"*صف*"),COUNTIFS('الجهاز التدريسي'!W4:W200,"*داخل*",'الجهاز التدريسي'!I4:I200,"*صف*"))</f>
        <v>0</v>
      </c>
      <c r="T11" s="7">
        <f>SUM(COUNTIFS('الجهاز الإداري'!S4:S200,"*داخل*",'الجهاز الإداري'!I4:I200,"*عميق*"),COUNTIFS('الجهاز التدريسي'!W4:W200,"*داخل*",'الجهاز التدريسي'!I4:I200,"*عميق*"))</f>
        <v>0</v>
      </c>
      <c r="U11" s="72">
        <f>SUM(COUNTIFS('الجهاز الإداري'!S4:S200,"*داخل*",'الجهاز الإداري'!I4:I200,"*ا.ه*"),COUNTIFS('الجهاز التدريسي'!W4:W200,"*داخل*",'الجهاز التدريسي'!I4:I200,"*ا.ه*"))</f>
        <v>0</v>
      </c>
      <c r="V11" s="69">
        <f>SUM(COUNTIFS('الجهاز الإداري'!S4:S200,"*داخل*",'الجهاز الإداري'!I4:I200,"*ا-ه*"),COUNTIFS('الجهاز التدريسي'!W4:W200,"*داخل*",'الجهاز التدريسي'!I4:I200,"*ا-ه*"))</f>
        <v>0</v>
      </c>
      <c r="W11" s="69">
        <f>SUM(COUNTIFS('الجهاز الإداري'!S4:S200,"*داخل*",'الجهاز الإداري'!I4:I200,"*ا ه*"),COUNTIFS('الجهاز التدريسي'!W4:W200,"*داخل*",'الجهاز التدريسي'!I4:I200,"*ا ه*"))</f>
        <v>0</v>
      </c>
      <c r="X11" s="70">
        <f>SUM(COUNTIFS('الجهاز الإداري'!S4:S200,"*داخل*",'الجهاز الإداري'!I4:I200,"*اهلي*تعل*"),COUNTIFS('الجهاز التدريسي'!W4:W200,"*داخل*",'الجهاز التدريسي'!I4:I200,"*اهلي*تعل*"))</f>
        <v>0</v>
      </c>
      <c r="Y11" s="6">
        <f>SUM(COUNTIFS('الجهاز الإداري'!S4:S200,"*داخل*",'الجهاز الإداري'!I4:I200,"*38*"),COUNTIFS('الجهاز التدريسي'!W4:W200,"*داخل*",'الجهاز التدريسي'!I4:I200,"*38*"))</f>
        <v>0</v>
      </c>
      <c r="Z11" s="221" t="s">
        <v>307</v>
      </c>
    </row>
    <row r="12" spans="1:31" ht="31.2" x14ac:dyDescent="0.5">
      <c r="A12" s="200" t="s">
        <v>252</v>
      </c>
      <c r="B12" s="198" t="s">
        <v>71</v>
      </c>
      <c r="E12" t="s">
        <v>198</v>
      </c>
      <c r="F12" t="s">
        <v>67</v>
      </c>
      <c r="M12" s="18" t="s">
        <v>73</v>
      </c>
      <c r="N12">
        <f>COUNTIFS('الجهاز الإداري'!I4:I200,"*تاري*",'الجهاز الإداري'!S4:S200,"*داخل*")</f>
        <v>0</v>
      </c>
      <c r="U12">
        <f>SUM(COUNTIFS('الجهاز الإداري'!S4:S200,"*تحديد*",'الجهاز الإداري'!I4:I200,"*ا.ه*"),COUNTIFS('الجهاز التدريسي'!W4:W200,"*تحديد*",'الجهاز التدريسي'!I4:I200,"*ا.ه*"))</f>
        <v>0</v>
      </c>
      <c r="Z12" s="221" t="s">
        <v>308</v>
      </c>
    </row>
    <row r="13" spans="1:31" ht="31.2" x14ac:dyDescent="0.5">
      <c r="A13" s="200" t="s">
        <v>250</v>
      </c>
      <c r="B13" s="198" t="s">
        <v>72</v>
      </c>
      <c r="E13" t="s">
        <v>235</v>
      </c>
      <c r="F13" t="s">
        <v>159</v>
      </c>
      <c r="M13" s="17" t="s">
        <v>74</v>
      </c>
      <c r="N13">
        <f>COUNTIFS('الجهاز الإداري'!I:I,"*جغرا*")</f>
        <v>0</v>
      </c>
      <c r="Z13" s="221" t="s">
        <v>309</v>
      </c>
    </row>
    <row r="14" spans="1:31" ht="31.8" thickBot="1" x14ac:dyDescent="0.55000000000000004">
      <c r="A14" s="200" t="s">
        <v>253</v>
      </c>
      <c r="B14" s="198" t="s">
        <v>274</v>
      </c>
      <c r="F14" t="s">
        <v>160</v>
      </c>
      <c r="M14" s="13" t="s">
        <v>92</v>
      </c>
      <c r="N14">
        <f>COUNTIFS('الجهاز الإداري'!I4:I200,"*قوم*",'الجهاز الإداري'!S4:S200,"*داخل*")</f>
        <v>0</v>
      </c>
      <c r="Z14" s="221" t="s">
        <v>310</v>
      </c>
    </row>
    <row r="15" spans="1:31" x14ac:dyDescent="0.5">
      <c r="A15" s="200" t="s">
        <v>170</v>
      </c>
      <c r="B15" s="198" t="s">
        <v>237</v>
      </c>
      <c r="F15" t="s">
        <v>161</v>
      </c>
      <c r="M15" s="18" t="s">
        <v>76</v>
      </c>
      <c r="N15">
        <f>COUNTIFS('الجهاز الإداري'!I4:I200,"*ديان*",'الجهاز الإداري'!S4:S200,"*داخل*")</f>
        <v>0</v>
      </c>
      <c r="O15">
        <f>COUNTIFS('الجهاز الإداري'!I4:I200,"*سلام*",'الجهاز الإداري'!S4:S200,"*داخل*")</f>
        <v>0</v>
      </c>
    </row>
    <row r="16" spans="1:31" x14ac:dyDescent="0.5">
      <c r="A16" s="200" t="s">
        <v>50</v>
      </c>
      <c r="B16" s="198" t="s">
        <v>89</v>
      </c>
      <c r="F16" t="s">
        <v>162</v>
      </c>
      <c r="M16" s="17" t="s">
        <v>93</v>
      </c>
      <c r="N16">
        <f>COUNTIFS('الجهاز الإداري'!I4:I200,"*سيح*",'الجهاز الإداري'!S4:S200,"*داخل*")</f>
        <v>0</v>
      </c>
    </row>
    <row r="17" spans="1:15" ht="26.4" thickBot="1" x14ac:dyDescent="0.55000000000000004">
      <c r="A17" s="200" t="s">
        <v>21</v>
      </c>
      <c r="B17" s="198" t="s">
        <v>73</v>
      </c>
      <c r="F17" t="s">
        <v>173</v>
      </c>
      <c r="M17" s="67" t="s">
        <v>94</v>
      </c>
      <c r="N17">
        <f>COUNTIFS('الجهاز الإداري'!I4:I200,"*معلو*",'الجهاز الإداري'!S4:S200,"*داخل*")</f>
        <v>0</v>
      </c>
    </row>
    <row r="18" spans="1:15" x14ac:dyDescent="0.5">
      <c r="A18" s="200" t="s">
        <v>172</v>
      </c>
      <c r="B18" s="198" t="s">
        <v>74</v>
      </c>
      <c r="F18" t="s">
        <v>174</v>
      </c>
      <c r="M18" s="18" t="s">
        <v>29</v>
      </c>
      <c r="N18">
        <f>COUNTIFS('الجهاز الإداري'!I4:I200,"*كليز*",'الجهاز الإداري'!S4:S200,"*داخل*")</f>
        <v>0</v>
      </c>
    </row>
    <row r="19" spans="1:15" x14ac:dyDescent="0.5">
      <c r="A19" s="200" t="s">
        <v>151</v>
      </c>
      <c r="B19" s="198" t="s">
        <v>77</v>
      </c>
      <c r="F19" t="s">
        <v>175</v>
      </c>
      <c r="M19" s="17" t="s">
        <v>75</v>
      </c>
      <c r="N19">
        <f>COUNTIFS('الجهاز الإداري'!I:I,"*فرن*")</f>
        <v>0</v>
      </c>
    </row>
    <row r="20" spans="1:15" ht="26.4" thickBot="1" x14ac:dyDescent="0.55000000000000004">
      <c r="A20" s="200" t="s">
        <v>232</v>
      </c>
      <c r="B20" s="198" t="s">
        <v>94</v>
      </c>
      <c r="M20" s="13" t="s">
        <v>87</v>
      </c>
      <c r="N20">
        <f>COUNTIFS('الجهاز الإداري'!I4:I200,"*روس*",'الجهاز الإداري'!S4:S200,"*داخل*")</f>
        <v>0</v>
      </c>
    </row>
    <row r="21" spans="1:15" x14ac:dyDescent="0.5">
      <c r="A21" s="200" t="s">
        <v>233</v>
      </c>
      <c r="B21" s="198" t="s">
        <v>282</v>
      </c>
      <c r="M21" s="18" t="s">
        <v>77</v>
      </c>
      <c r="N21">
        <f>COUNTIFS('الجهاز الإداري'!I4:I200,"*علوم*",'الجهاز الإداري'!S4:S200,"*داخل*")</f>
        <v>0</v>
      </c>
    </row>
    <row r="22" spans="1:15" x14ac:dyDescent="0.5">
      <c r="A22" s="200" t="s">
        <v>246</v>
      </c>
      <c r="B22" s="198" t="s">
        <v>80</v>
      </c>
      <c r="M22" s="17" t="s">
        <v>80</v>
      </c>
      <c r="N22">
        <f>COUNTIFS('الجهاز الإداري'!I4:I200,"*رياض*",'الجهاز الإداري'!S4:S200,"*داخل*")</f>
        <v>0</v>
      </c>
    </row>
    <row r="23" spans="1:15" ht="26.4" thickBot="1" x14ac:dyDescent="0.55000000000000004">
      <c r="B23" s="198" t="s">
        <v>79</v>
      </c>
      <c r="M23" s="67" t="s">
        <v>79</v>
      </c>
      <c r="N23">
        <f>COUNTIFS('الجهاز الإداري'!I4:I200,"*فنو*",'الجهاز الإداري'!S4:S200,"*داخل*")</f>
        <v>0</v>
      </c>
      <c r="O23">
        <f>COUNTIFS('الجهاز الإداري'!I4:I200,"*رسم*",'الجهاز الإداري'!S4:S200,"*داخل*")</f>
        <v>0</v>
      </c>
    </row>
    <row r="24" spans="1:15" x14ac:dyDescent="0.5">
      <c r="B24" s="198" t="s">
        <v>29</v>
      </c>
      <c r="M24" s="68" t="s">
        <v>185</v>
      </c>
    </row>
    <row r="25" spans="1:15" ht="26.4" thickBot="1" x14ac:dyDescent="0.55000000000000004">
      <c r="B25" s="198" t="s">
        <v>75</v>
      </c>
    </row>
    <row r="26" spans="1:15" x14ac:dyDescent="0.5">
      <c r="B26" s="198" t="s">
        <v>87</v>
      </c>
      <c r="M26" s="9" t="s">
        <v>71</v>
      </c>
      <c r="N26">
        <f>COUNTIFS('الجهاز الإداري'!I4:I200,"*عرب*",'الجهاز الإداري'!S4:S200,"*داخل*")</f>
        <v>0</v>
      </c>
    </row>
    <row r="27" spans="1:15" x14ac:dyDescent="0.5">
      <c r="B27" s="198" t="s">
        <v>76</v>
      </c>
      <c r="M27" s="11" t="s">
        <v>72</v>
      </c>
    </row>
    <row r="28" spans="1:15" x14ac:dyDescent="0.5">
      <c r="B28" s="198" t="s">
        <v>93</v>
      </c>
      <c r="E28" s="127"/>
      <c r="F28" s="127"/>
      <c r="G28" s="127"/>
      <c r="H28" s="127"/>
      <c r="I28" s="127"/>
      <c r="J28" s="127"/>
      <c r="K28" s="127"/>
      <c r="L28" s="127"/>
      <c r="M28" s="127"/>
    </row>
    <row r="29" spans="1:15" x14ac:dyDescent="0.5">
      <c r="B29" s="198" t="s">
        <v>243</v>
      </c>
      <c r="D29" s="2"/>
      <c r="E29" s="127"/>
      <c r="F29" s="127"/>
      <c r="G29" s="127"/>
      <c r="H29" s="127"/>
      <c r="I29" s="127"/>
      <c r="J29" s="127"/>
      <c r="K29" s="127"/>
      <c r="L29" s="127"/>
      <c r="M29" s="127"/>
    </row>
    <row r="30" spans="1:15" x14ac:dyDescent="0.5">
      <c r="B30" s="198" t="s">
        <v>287</v>
      </c>
      <c r="D30" s="2"/>
      <c r="E30" s="127"/>
      <c r="F30" s="127"/>
      <c r="G30" s="127"/>
      <c r="H30" s="127"/>
      <c r="I30" s="127"/>
      <c r="J30" s="127"/>
      <c r="K30" s="127"/>
      <c r="L30" s="127"/>
      <c r="M30" s="127"/>
    </row>
    <row r="31" spans="1:15" x14ac:dyDescent="0.5">
      <c r="B31" s="198" t="s">
        <v>239</v>
      </c>
      <c r="D31" s="2"/>
      <c r="E31" s="128"/>
      <c r="F31" s="129"/>
      <c r="G31" s="129"/>
      <c r="H31" s="129"/>
      <c r="I31" s="129"/>
      <c r="J31" s="129"/>
      <c r="K31" s="129"/>
      <c r="L31" s="129"/>
      <c r="M31" s="129"/>
    </row>
    <row r="32" spans="1:15" x14ac:dyDescent="0.5">
      <c r="B32" s="198" t="s">
        <v>240</v>
      </c>
      <c r="D32" s="2"/>
      <c r="E32" s="129"/>
      <c r="F32" s="129"/>
      <c r="G32" s="129"/>
      <c r="H32" s="129"/>
      <c r="I32" s="129"/>
      <c r="J32" s="129"/>
      <c r="K32" s="129"/>
      <c r="L32" s="129"/>
      <c r="M32" s="129"/>
    </row>
    <row r="33" spans="2:13" x14ac:dyDescent="0.5">
      <c r="B33" s="198" t="s">
        <v>241</v>
      </c>
      <c r="D33" s="2"/>
      <c r="E33" s="130"/>
      <c r="F33" s="130"/>
      <c r="G33" s="130"/>
      <c r="H33" s="130"/>
      <c r="I33" s="130"/>
      <c r="J33" s="130"/>
      <c r="K33" s="130"/>
      <c r="L33" s="130"/>
      <c r="M33" s="130"/>
    </row>
    <row r="34" spans="2:13" x14ac:dyDescent="0.5">
      <c r="B34" s="198" t="s">
        <v>288</v>
      </c>
      <c r="D34" s="2"/>
      <c r="E34" s="131"/>
      <c r="F34" s="132"/>
      <c r="G34" s="132"/>
      <c r="H34" s="132"/>
      <c r="I34" s="132"/>
      <c r="J34" s="132"/>
      <c r="K34" s="132"/>
      <c r="L34" s="132"/>
      <c r="M34" s="132"/>
    </row>
    <row r="35" spans="2:13" x14ac:dyDescent="0.5">
      <c r="B35" s="198" t="s">
        <v>242</v>
      </c>
      <c r="D35" s="2"/>
      <c r="E35" s="132"/>
      <c r="F35" s="132"/>
      <c r="G35" s="132"/>
      <c r="H35" s="132"/>
      <c r="I35" s="132"/>
      <c r="J35" s="132"/>
      <c r="K35" s="132"/>
      <c r="L35" s="132"/>
      <c r="M35" s="132"/>
    </row>
    <row r="36" spans="2:13" x14ac:dyDescent="0.5">
      <c r="B36" s="198" t="s">
        <v>244</v>
      </c>
      <c r="D36" s="4"/>
      <c r="E36" s="131"/>
      <c r="F36" s="131"/>
      <c r="G36" s="131"/>
      <c r="H36" s="131"/>
      <c r="I36" s="131"/>
      <c r="J36" s="131"/>
      <c r="K36" s="131"/>
      <c r="L36" s="131"/>
      <c r="M36" s="131"/>
    </row>
    <row r="37" spans="2:13" ht="14.25" customHeight="1" x14ac:dyDescent="0.5">
      <c r="B37" s="198" t="s">
        <v>265</v>
      </c>
      <c r="D37" s="2"/>
      <c r="E37" s="131"/>
      <c r="F37" s="131"/>
      <c r="G37" s="131"/>
      <c r="H37" s="131"/>
      <c r="I37" s="131"/>
      <c r="J37" s="131"/>
      <c r="K37" s="131"/>
      <c r="L37" s="131"/>
      <c r="M37" s="131"/>
    </row>
    <row r="38" spans="2:13" x14ac:dyDescent="0.5">
      <c r="B38" s="198" t="s">
        <v>238</v>
      </c>
      <c r="D38" s="2"/>
      <c r="E38" s="125"/>
      <c r="F38" s="125"/>
      <c r="G38" s="125"/>
      <c r="H38" s="125"/>
      <c r="I38" s="125"/>
      <c r="J38" s="125"/>
      <c r="K38" s="125"/>
      <c r="L38" s="125"/>
      <c r="M38" s="125"/>
    </row>
    <row r="39" spans="2:13" ht="14.25" customHeight="1" x14ac:dyDescent="0.5">
      <c r="B39" s="198" t="s">
        <v>233</v>
      </c>
      <c r="D39" s="2"/>
      <c r="E39" s="125"/>
      <c r="F39" s="125"/>
      <c r="G39" s="125"/>
      <c r="H39" s="125"/>
      <c r="I39" s="125"/>
      <c r="J39" s="125"/>
      <c r="K39" s="125"/>
      <c r="L39" s="125"/>
      <c r="M39" s="125"/>
    </row>
    <row r="40" spans="2:13" x14ac:dyDescent="0.5">
      <c r="B40" s="198" t="s">
        <v>284</v>
      </c>
      <c r="D40" s="79"/>
      <c r="E40" s="126"/>
      <c r="F40" s="126"/>
      <c r="G40" s="126"/>
      <c r="H40" s="126"/>
      <c r="I40" s="126"/>
      <c r="J40" s="126"/>
      <c r="K40" s="126"/>
      <c r="L40" s="126"/>
      <c r="M40" s="126"/>
    </row>
    <row r="41" spans="2:13" ht="21" customHeight="1" x14ac:dyDescent="0.5">
      <c r="D41" s="2"/>
      <c r="E41" s="126"/>
      <c r="F41" s="126"/>
      <c r="G41" s="126"/>
      <c r="H41" s="126"/>
      <c r="I41" s="126"/>
      <c r="J41" s="126"/>
      <c r="K41" s="126"/>
      <c r="L41" s="126"/>
      <c r="M41" s="126"/>
    </row>
  </sheetData>
  <mergeCells count="2">
    <mergeCell ref="M11:R11"/>
    <mergeCell ref="U10:X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نطاقات تمت تسميتها</vt:lpstr>
      </vt:variant>
      <vt:variant>
        <vt:i4>8</vt:i4>
      </vt:variant>
    </vt:vector>
  </HeadingPairs>
  <TitlesOfParts>
    <vt:vector size="15" baseType="lpstr">
      <vt:lpstr>البيان</vt:lpstr>
      <vt:lpstr>الجهاز الإداري</vt:lpstr>
      <vt:lpstr>الجهاز التدريسي</vt:lpstr>
      <vt:lpstr>مهنيين ومستخدمين وحراس</vt:lpstr>
      <vt:lpstr>التعديلات الطارئة الشهرية</vt:lpstr>
      <vt:lpstr>جدول نتائج نهاية العام</vt:lpstr>
      <vt:lpstr>قوائم</vt:lpstr>
      <vt:lpstr>البيان!Print_Area</vt:lpstr>
      <vt:lpstr>'التعديلات الطارئة الشهرية'!Print_Area</vt:lpstr>
      <vt:lpstr>'الجهاز الإداري'!Print_Area</vt:lpstr>
      <vt:lpstr>'الجهاز التدريسي'!Print_Area</vt:lpstr>
      <vt:lpstr>'جدول نتائج نهاية العام'!Print_Area</vt:lpstr>
      <vt:lpstr>'مهنيين ومستخدمين وحراس'!Print_Area</vt:lpstr>
      <vt:lpstr>'الجهاز الإداري'!Print_Titles</vt:lpstr>
      <vt:lpstr>'الجهاز التدريسي'!Print_Titles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alresalah</dc:creator>
  <cp:lastModifiedBy>ASUS</cp:lastModifiedBy>
  <cp:lastPrinted>2025-10-26T15:48:16Z</cp:lastPrinted>
  <dcterms:created xsi:type="dcterms:W3CDTF">2013-03-14T09:20:11Z</dcterms:created>
  <dcterms:modified xsi:type="dcterms:W3CDTF">2026-03-03T13:09:01Z</dcterms:modified>
</cp:coreProperties>
</file>